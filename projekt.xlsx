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\Desktop\{ANIA}\studia\numerologia 2\"/>
    </mc:Choice>
  </mc:AlternateContent>
  <xr:revisionPtr revIDLastSave="0" documentId="13_ncr:1_{976D69E7-645B-404F-B09E-6166471FBE8E}" xr6:coauthVersionLast="47" xr6:coauthVersionMax="47" xr10:uidLastSave="{00000000-0000-0000-0000-000000000000}"/>
  <bookViews>
    <workbookView xWindow="-120" yWindow="-120" windowWidth="29040" windowHeight="15720" activeTab="3" xr2:uid="{6F959F67-2D44-41DC-BD48-8A1799D90D4A}"/>
  </bookViews>
  <sheets>
    <sheet name="Badanie przebiegu funkcji" sheetId="2" r:id="rId1"/>
    <sheet name="Newton" sheetId="1" r:id="rId2"/>
    <sheet name="Liczba iteracji - Newton" sheetId="3" r:id="rId3"/>
    <sheet name="Zbieżność metody Newtona" sheetId="4" r:id="rId4"/>
    <sheet name="Punkt stały" sheetId="5" r:id="rId5"/>
    <sheet name="Liczba iteracji - punkt stał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4" l="1" a="1"/>
  <c r="AF3" i="4" s="1"/>
  <c r="AF592" i="4"/>
  <c r="AG592" i="4"/>
  <c r="AH592" i="4"/>
  <c r="AI592" i="4"/>
  <c r="AJ592" i="4"/>
  <c r="AK592" i="4"/>
  <c r="AF593" i="4"/>
  <c r="AL592" i="4" s="1"/>
  <c r="AG593" i="4"/>
  <c r="AH593" i="4"/>
  <c r="AI593" i="4"/>
  <c r="AJ593" i="4"/>
  <c r="AK593" i="4"/>
  <c r="AF594" i="4"/>
  <c r="AL593" i="4" s="1"/>
  <c r="AG594" i="4"/>
  <c r="AH594" i="4"/>
  <c r="AI594" i="4"/>
  <c r="AJ594" i="4"/>
  <c r="AK594" i="4"/>
  <c r="AF595" i="4"/>
  <c r="AL594" i="4" s="1"/>
  <c r="AG595" i="4"/>
  <c r="AH595" i="4"/>
  <c r="AI595" i="4"/>
  <c r="AJ595" i="4"/>
  <c r="AK595" i="4"/>
  <c r="AF596" i="4"/>
  <c r="AL595" i="4" s="1"/>
  <c r="AG596" i="4"/>
  <c r="AH596" i="4"/>
  <c r="AI596" i="4"/>
  <c r="AJ596" i="4"/>
  <c r="AK596" i="4"/>
  <c r="AF597" i="4"/>
  <c r="AL596" i="4" s="1"/>
  <c r="AG597" i="4"/>
  <c r="AH597" i="4"/>
  <c r="AI597" i="4"/>
  <c r="AJ597" i="4"/>
  <c r="AK597" i="4"/>
  <c r="AF598" i="4"/>
  <c r="AL597" i="4" s="1"/>
  <c r="AG598" i="4"/>
  <c r="AH598" i="4"/>
  <c r="AI598" i="4"/>
  <c r="AJ598" i="4"/>
  <c r="AK598" i="4"/>
  <c r="AF599" i="4"/>
  <c r="AL598" i="4" s="1"/>
  <c r="AG599" i="4"/>
  <c r="AH599" i="4"/>
  <c r="AI599" i="4"/>
  <c r="AJ599" i="4"/>
  <c r="AK599" i="4"/>
  <c r="AF600" i="4"/>
  <c r="AL599" i="4" s="1"/>
  <c r="AG600" i="4"/>
  <c r="AH600" i="4"/>
  <c r="AI600" i="4"/>
  <c r="AJ600" i="4"/>
  <c r="AK600" i="4"/>
  <c r="AF601" i="4"/>
  <c r="AL600" i="4" s="1"/>
  <c r="AG601" i="4"/>
  <c r="AH601" i="4"/>
  <c r="AI601" i="4"/>
  <c r="AJ601" i="4"/>
  <c r="AK601" i="4"/>
  <c r="AF602" i="4"/>
  <c r="AL601" i="4" s="1"/>
  <c r="AG602" i="4"/>
  <c r="AH602" i="4"/>
  <c r="AI602" i="4"/>
  <c r="AJ602" i="4"/>
  <c r="AK602" i="4"/>
  <c r="AF603" i="4"/>
  <c r="AL602" i="4" s="1"/>
  <c r="AG603" i="4"/>
  <c r="AH603" i="4"/>
  <c r="AI603" i="4"/>
  <c r="AJ603" i="4"/>
  <c r="AK603" i="4"/>
  <c r="AF604" i="4"/>
  <c r="AL603" i="4" s="1"/>
  <c r="AG604" i="4"/>
  <c r="AH604" i="4"/>
  <c r="AI604" i="4"/>
  <c r="AJ604" i="4"/>
  <c r="AK604" i="4"/>
  <c r="AF605" i="4"/>
  <c r="AL604" i="4" s="1"/>
  <c r="AG605" i="4"/>
  <c r="AH605" i="4"/>
  <c r="AI605" i="4"/>
  <c r="AJ605" i="4"/>
  <c r="AK605" i="4"/>
  <c r="AF606" i="4"/>
  <c r="AG606" i="4"/>
  <c r="AH606" i="4"/>
  <c r="AF398" i="4"/>
  <c r="AG398" i="4"/>
  <c r="AH398" i="4"/>
  <c r="AI398" i="4"/>
  <c r="AJ398" i="4"/>
  <c r="AK398" i="4"/>
  <c r="AF399" i="4"/>
  <c r="AL398" i="4" s="1"/>
  <c r="AG399" i="4"/>
  <c r="AH399" i="4"/>
  <c r="AI399" i="4"/>
  <c r="AJ399" i="4"/>
  <c r="AK399" i="4"/>
  <c r="AF400" i="4"/>
  <c r="AL399" i="4" s="1"/>
  <c r="AG400" i="4"/>
  <c r="AH400" i="4"/>
  <c r="AI400" i="4"/>
  <c r="AJ400" i="4"/>
  <c r="AK400" i="4"/>
  <c r="AF401" i="4"/>
  <c r="AL400" i="4" s="1"/>
  <c r="AG401" i="4"/>
  <c r="AH401" i="4"/>
  <c r="AI401" i="4"/>
  <c r="AJ401" i="4"/>
  <c r="AK401" i="4"/>
  <c r="AF402" i="4"/>
  <c r="AL401" i="4" s="1"/>
  <c r="AG402" i="4"/>
  <c r="AH402" i="4"/>
  <c r="AI402" i="4"/>
  <c r="AJ402" i="4"/>
  <c r="AK402" i="4"/>
  <c r="AF403" i="4"/>
  <c r="AL402" i="4" s="1"/>
  <c r="AG403" i="4"/>
  <c r="AH403" i="4"/>
  <c r="AI403" i="4"/>
  <c r="AJ403" i="4"/>
  <c r="AK403" i="4"/>
  <c r="AF404" i="4"/>
  <c r="AL403" i="4" s="1"/>
  <c r="AG404" i="4"/>
  <c r="AH404" i="4"/>
  <c r="AI404" i="4"/>
  <c r="AJ404" i="4"/>
  <c r="AK404" i="4"/>
  <c r="AF405" i="4"/>
  <c r="AL404" i="4" s="1"/>
  <c r="AG405" i="4"/>
  <c r="AH405" i="4"/>
  <c r="AI405" i="4"/>
  <c r="AJ405" i="4"/>
  <c r="AK405" i="4"/>
  <c r="AF406" i="4"/>
  <c r="AL405" i="4" s="1"/>
  <c r="AG406" i="4"/>
  <c r="AH406" i="4"/>
  <c r="AI406" i="4"/>
  <c r="AJ406" i="4"/>
  <c r="AK406" i="4"/>
  <c r="AF407" i="4"/>
  <c r="AL406" i="4" s="1"/>
  <c r="AG407" i="4"/>
  <c r="AH407" i="4"/>
  <c r="AI407" i="4"/>
  <c r="AJ407" i="4"/>
  <c r="AK407" i="4"/>
  <c r="AF408" i="4"/>
  <c r="AL407" i="4" s="1"/>
  <c r="AG408" i="4"/>
  <c r="AH408" i="4"/>
  <c r="AI408" i="4"/>
  <c r="AJ408" i="4"/>
  <c r="AK408" i="4"/>
  <c r="AF409" i="4"/>
  <c r="AL408" i="4" s="1"/>
  <c r="AG409" i="4"/>
  <c r="AH409" i="4"/>
  <c r="AI409" i="4"/>
  <c r="AJ409" i="4"/>
  <c r="AK409" i="4"/>
  <c r="AF410" i="4"/>
  <c r="AL409" i="4" s="1"/>
  <c r="AG410" i="4"/>
  <c r="AH410" i="4"/>
  <c r="AI410" i="4"/>
  <c r="AJ410" i="4"/>
  <c r="AK410" i="4"/>
  <c r="AF411" i="4"/>
  <c r="AL410" i="4" s="1"/>
  <c r="AG411" i="4"/>
  <c r="AH411" i="4"/>
  <c r="AI411" i="4"/>
  <c r="AJ411" i="4"/>
  <c r="AK411" i="4"/>
  <c r="AF412" i="4"/>
  <c r="AG412" i="4"/>
  <c r="AH412" i="4"/>
  <c r="AI412" i="4"/>
  <c r="AJ412" i="4"/>
  <c r="AF128" i="4"/>
  <c r="AG128" i="4"/>
  <c r="AH128" i="4"/>
  <c r="AI128" i="4"/>
  <c r="AJ128" i="4"/>
  <c r="AK128" i="4"/>
  <c r="AF129" i="4"/>
  <c r="AL128" i="4" s="1"/>
  <c r="AG129" i="4"/>
  <c r="AH129" i="4"/>
  <c r="AI129" i="4"/>
  <c r="AJ129" i="4"/>
  <c r="AK129" i="4"/>
  <c r="AF130" i="4"/>
  <c r="AL129" i="4" s="1"/>
  <c r="AG130" i="4"/>
  <c r="AH130" i="4"/>
  <c r="AI130" i="4"/>
  <c r="AJ130" i="4"/>
  <c r="AK130" i="4"/>
  <c r="AF131" i="4"/>
  <c r="AL130" i="4" s="1"/>
  <c r="AG131" i="4"/>
  <c r="AH131" i="4"/>
  <c r="AI131" i="4"/>
  <c r="AJ131" i="4"/>
  <c r="AK131" i="4"/>
  <c r="AF132" i="4"/>
  <c r="AL131" i="4" s="1"/>
  <c r="AG132" i="4"/>
  <c r="AH132" i="4"/>
  <c r="AI132" i="4"/>
  <c r="AJ132" i="4"/>
  <c r="AK132" i="4"/>
  <c r="AF133" i="4"/>
  <c r="AL132" i="4" s="1"/>
  <c r="AG133" i="4"/>
  <c r="AH133" i="4"/>
  <c r="AI133" i="4"/>
  <c r="AJ133" i="4"/>
  <c r="AK133" i="4"/>
  <c r="AF134" i="4"/>
  <c r="AL133" i="4" s="1"/>
  <c r="AG134" i="4"/>
  <c r="AH134" i="4"/>
  <c r="AI134" i="4"/>
  <c r="AJ134" i="4"/>
  <c r="AK134" i="4"/>
  <c r="AF135" i="4"/>
  <c r="AL134" i="4" s="1"/>
  <c r="AG135" i="4"/>
  <c r="AH135" i="4"/>
  <c r="AI135" i="4"/>
  <c r="AJ135" i="4"/>
  <c r="AK135" i="4"/>
  <c r="AF136" i="4"/>
  <c r="AL135" i="4" s="1"/>
  <c r="AG136" i="4"/>
  <c r="AH136" i="4"/>
  <c r="AI136" i="4"/>
  <c r="AJ136" i="4"/>
  <c r="AK136" i="4"/>
  <c r="AF137" i="4"/>
  <c r="AL136" i="4" s="1"/>
  <c r="AG137" i="4"/>
  <c r="AH137" i="4"/>
  <c r="AI137" i="4"/>
  <c r="AJ137" i="4"/>
  <c r="AK137" i="4"/>
  <c r="AF138" i="4"/>
  <c r="AL137" i="4" s="1"/>
  <c r="AG138" i="4"/>
  <c r="AH138" i="4"/>
  <c r="AI138" i="4"/>
  <c r="AJ138" i="4"/>
  <c r="AK138" i="4"/>
  <c r="AF139" i="4"/>
  <c r="AL138" i="4" s="1"/>
  <c r="AG139" i="4"/>
  <c r="AH139" i="4"/>
  <c r="AI139" i="4"/>
  <c r="AJ139" i="4"/>
  <c r="AK139" i="4"/>
  <c r="AF140" i="4"/>
  <c r="AL139" i="4" s="1"/>
  <c r="AG140" i="4"/>
  <c r="AH140" i="4"/>
  <c r="AI140" i="4"/>
  <c r="AJ140" i="4"/>
  <c r="AK140" i="4"/>
  <c r="AF141" i="4"/>
  <c r="AL140" i="4" s="1"/>
  <c r="AG141" i="4"/>
  <c r="AH141" i="4"/>
  <c r="AI141" i="4"/>
  <c r="AJ141" i="4"/>
  <c r="AK141" i="4"/>
  <c r="AF142" i="4"/>
  <c r="AL141" i="4" s="1"/>
  <c r="AG142" i="4"/>
  <c r="AH142" i="4"/>
  <c r="AI142" i="4"/>
  <c r="AJ142" i="4"/>
  <c r="AK142" i="4"/>
  <c r="AF143" i="4"/>
  <c r="AL142" i="4" s="1"/>
  <c r="AG143" i="4"/>
  <c r="AH143" i="4"/>
  <c r="AI143" i="4"/>
  <c r="AJ143" i="4"/>
  <c r="AK143" i="4"/>
  <c r="AF144" i="4"/>
  <c r="AL143" i="4" s="1"/>
  <c r="AG144" i="4"/>
  <c r="AH144" i="4"/>
  <c r="AI144" i="4"/>
  <c r="AJ144" i="4"/>
  <c r="AK144" i="4"/>
  <c r="AF145" i="4"/>
  <c r="AL144" i="4" s="1"/>
  <c r="AG145" i="4"/>
  <c r="AH145" i="4"/>
  <c r="AI145" i="4"/>
  <c r="AJ145" i="4"/>
  <c r="AK145" i="4"/>
  <c r="AF146" i="4"/>
  <c r="AG146" i="4"/>
  <c r="AF118" i="4"/>
  <c r="AG118" i="4"/>
  <c r="AH118" i="4"/>
  <c r="AI118" i="4"/>
  <c r="AJ118" i="4"/>
  <c r="AK118" i="4"/>
  <c r="AF119" i="4"/>
  <c r="AF16" i="4"/>
  <c r="AG16" i="4"/>
  <c r="AH16" i="4"/>
  <c r="AI16" i="4"/>
  <c r="AJ16" i="4"/>
  <c r="AK16" i="4"/>
  <c r="AF17" i="4"/>
  <c r="AL16" i="4" s="1"/>
  <c r="AG17" i="4"/>
  <c r="AH17" i="4"/>
  <c r="AI17" i="4"/>
  <c r="AJ17" i="4"/>
  <c r="AK17" i="4"/>
  <c r="AF18" i="4"/>
  <c r="AL17" i="4" s="1"/>
  <c r="AG18" i="4"/>
  <c r="AH18" i="4"/>
  <c r="AI18" i="4"/>
  <c r="AJ18" i="4"/>
  <c r="AK18" i="4"/>
  <c r="AF19" i="4"/>
  <c r="AL18" i="4" s="1"/>
  <c r="AG19" i="4"/>
  <c r="AH19" i="4"/>
  <c r="AI19" i="4"/>
  <c r="AJ19" i="4"/>
  <c r="AK19" i="4"/>
  <c r="AF20" i="4"/>
  <c r="AL19" i="4" s="1"/>
  <c r="AG20" i="4"/>
  <c r="AH20" i="4"/>
  <c r="AI20" i="4"/>
  <c r="AJ20" i="4"/>
  <c r="AK20" i="4"/>
  <c r="AF21" i="4"/>
  <c r="AL20" i="4" s="1"/>
  <c r="AG21" i="4"/>
  <c r="AH21" i="4"/>
  <c r="AI21" i="4"/>
  <c r="AJ21" i="4"/>
  <c r="AK21" i="4"/>
  <c r="AF22" i="4"/>
  <c r="AL21" i="4" s="1"/>
  <c r="AG22" i="4"/>
  <c r="AH22" i="4"/>
  <c r="AI22" i="4"/>
  <c r="AJ22" i="4"/>
  <c r="AK22" i="4"/>
  <c r="AF23" i="4"/>
  <c r="AG23" i="4"/>
  <c r="AH5" i="4"/>
  <c r="AI5" i="4"/>
  <c r="AG5" i="4"/>
  <c r="Q22" i="4"/>
  <c r="P22" i="4"/>
  <c r="R22" i="4" s="1"/>
  <c r="O22" i="4"/>
  <c r="Z34" i="4"/>
  <c r="Z33" i="4"/>
  <c r="P33" i="4"/>
  <c r="J9" i="5"/>
  <c r="B7" i="7"/>
  <c r="E7" i="7"/>
  <c r="I33" i="4"/>
  <c r="K33" i="4"/>
  <c r="B30" i="4"/>
  <c r="G6" i="1"/>
  <c r="B2" i="2"/>
  <c r="B3" i="2"/>
  <c r="B4" i="2"/>
  <c r="B5" i="2"/>
  <c r="B6" i="2"/>
  <c r="B21" i="2"/>
  <c r="B22" i="2"/>
  <c r="B4" i="1" a="1"/>
  <c r="B4" i="1" s="1"/>
  <c r="K5" i="1" a="1"/>
  <c r="K5" i="1" s="1"/>
  <c r="F9" i="5"/>
  <c r="F10" i="5" s="1"/>
  <c r="B9" i="5"/>
  <c r="N10" i="4"/>
  <c r="N11" i="4"/>
  <c r="N15" i="4"/>
  <c r="Z88" i="4"/>
  <c r="Y88" i="4"/>
  <c r="X88" i="4"/>
  <c r="Y33" i="4"/>
  <c r="N13" i="4"/>
  <c r="N12" i="4"/>
  <c r="Z5" i="4"/>
  <c r="Y5" i="4"/>
  <c r="Z21" i="4"/>
  <c r="Y21" i="4"/>
  <c r="AA21" i="4" s="1"/>
  <c r="Q33" i="4"/>
  <c r="X33" i="4"/>
  <c r="X21" i="4"/>
  <c r="X5" i="4"/>
  <c r="O33" i="4"/>
  <c r="E32" i="4"/>
  <c r="D32" i="4"/>
  <c r="C32" i="4"/>
  <c r="E21" i="4"/>
  <c r="D21" i="4"/>
  <c r="C21" i="4"/>
  <c r="D9" i="4"/>
  <c r="E9" i="4"/>
  <c r="C9" i="4"/>
  <c r="J6" i="3"/>
  <c r="C6" i="3"/>
  <c r="E6" i="3"/>
  <c r="D6" i="3"/>
  <c r="N7" i="1"/>
  <c r="M7" i="1"/>
  <c r="O7" i="1" s="1"/>
  <c r="L7" i="1"/>
  <c r="G3" i="2"/>
  <c r="G4" i="2" s="1"/>
  <c r="H2" i="2"/>
  <c r="E6" i="1"/>
  <c r="D6" i="1"/>
  <c r="F6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7" i="2"/>
  <c r="C6" i="1"/>
  <c r="AL605" i="4" l="1"/>
  <c r="AI606" i="4"/>
  <c r="AJ606" i="4" s="1"/>
  <c r="AK606" i="4" s="1"/>
  <c r="AF607" i="4" s="1"/>
  <c r="AL411" i="4"/>
  <c r="AK412" i="4"/>
  <c r="AF413" i="4" s="1"/>
  <c r="AL145" i="4"/>
  <c r="AH146" i="4"/>
  <c r="AI146" i="4"/>
  <c r="AL118" i="4"/>
  <c r="AH119" i="4"/>
  <c r="AJ119" i="4" s="1"/>
  <c r="AK119" i="4" s="1"/>
  <c r="AF120" i="4" s="1"/>
  <c r="AG119" i="4"/>
  <c r="AI119" i="4"/>
  <c r="AL22" i="4"/>
  <c r="AH23" i="4"/>
  <c r="AI23" i="4"/>
  <c r="AJ5" i="4"/>
  <c r="AK5" i="4" s="1"/>
  <c r="AF6" i="4" s="1"/>
  <c r="S22" i="4"/>
  <c r="N23" i="4" s="1"/>
  <c r="O23" i="4"/>
  <c r="P23" i="4"/>
  <c r="Q23" i="4"/>
  <c r="T22" i="4"/>
  <c r="J10" i="5"/>
  <c r="K9" i="5" s="1"/>
  <c r="B8" i="7"/>
  <c r="C7" i="7" s="1"/>
  <c r="AA33" i="4"/>
  <c r="F11" i="5"/>
  <c r="F12" i="5" s="1"/>
  <c r="F13" i="5" s="1"/>
  <c r="F14" i="5" s="1"/>
  <c r="F15" i="5" s="1"/>
  <c r="F16" i="5" s="1"/>
  <c r="F17" i="5" s="1"/>
  <c r="F18" i="5" s="1"/>
  <c r="G9" i="5"/>
  <c r="B10" i="5"/>
  <c r="C9" i="5" s="1"/>
  <c r="R33" i="4"/>
  <c r="AA5" i="4"/>
  <c r="AB5" i="4" s="1"/>
  <c r="W6" i="4" s="1"/>
  <c r="AA88" i="4"/>
  <c r="AB88" i="4" s="1"/>
  <c r="W89" i="4" s="1"/>
  <c r="AC88" i="4" s="1"/>
  <c r="AB21" i="4"/>
  <c r="W22" i="4" s="1"/>
  <c r="F32" i="4"/>
  <c r="G32" i="4" s="1"/>
  <c r="B33" i="4" s="1"/>
  <c r="S33" i="4"/>
  <c r="N34" i="4" s="1"/>
  <c r="F9" i="4"/>
  <c r="G9" i="4" s="1"/>
  <c r="B10" i="4" s="1"/>
  <c r="F21" i="4"/>
  <c r="G21" i="4" s="1"/>
  <c r="B22" i="4" s="1"/>
  <c r="F6" i="3"/>
  <c r="G6" i="3" s="1"/>
  <c r="B7" i="3" s="1"/>
  <c r="C7" i="3" s="1"/>
  <c r="P7" i="1"/>
  <c r="K8" i="1" s="1"/>
  <c r="H3" i="2"/>
  <c r="G5" i="2"/>
  <c r="H4" i="2"/>
  <c r="B7" i="1"/>
  <c r="AL606" i="4" l="1"/>
  <c r="AI607" i="4"/>
  <c r="AH607" i="4"/>
  <c r="AJ607" i="4" s="1"/>
  <c r="AG607" i="4"/>
  <c r="AK607" i="4" s="1"/>
  <c r="AF608" i="4" s="1"/>
  <c r="AL412" i="4"/>
  <c r="AI413" i="4"/>
  <c r="AH413" i="4"/>
  <c r="AJ413" i="4" s="1"/>
  <c r="AG413" i="4"/>
  <c r="AK413" i="4" s="1"/>
  <c r="AF414" i="4" s="1"/>
  <c r="AJ146" i="4"/>
  <c r="AK146" i="4" s="1"/>
  <c r="AF147" i="4" s="1"/>
  <c r="AL119" i="4"/>
  <c r="AI120" i="4"/>
  <c r="AH120" i="4"/>
  <c r="AJ120" i="4" s="1"/>
  <c r="AG120" i="4"/>
  <c r="AK120" i="4" s="1"/>
  <c r="AF121" i="4" s="1"/>
  <c r="AJ23" i="4"/>
  <c r="AK23" i="4" s="1"/>
  <c r="AF24" i="4" s="1"/>
  <c r="AH6" i="4"/>
  <c r="AI6" i="4"/>
  <c r="AL5" i="4"/>
  <c r="AG6" i="4"/>
  <c r="R23" i="4"/>
  <c r="S23" i="4" s="1"/>
  <c r="N24" i="4" s="1"/>
  <c r="J11" i="5"/>
  <c r="K10" i="5" s="1"/>
  <c r="B9" i="7"/>
  <c r="C8" i="7" s="1"/>
  <c r="E22" i="4"/>
  <c r="G11" i="5"/>
  <c r="G10" i="5"/>
  <c r="B11" i="5"/>
  <c r="C10" i="5" s="1"/>
  <c r="X89" i="4"/>
  <c r="Y89" i="4"/>
  <c r="Z89" i="4"/>
  <c r="Y22" i="4"/>
  <c r="Z22" i="4"/>
  <c r="Y6" i="4"/>
  <c r="Z6" i="4"/>
  <c r="Q34" i="4"/>
  <c r="P34" i="4"/>
  <c r="X22" i="4"/>
  <c r="AC21" i="4"/>
  <c r="C33" i="4"/>
  <c r="H32" i="4"/>
  <c r="D33" i="4"/>
  <c r="E33" i="4"/>
  <c r="T33" i="4"/>
  <c r="AC5" i="4"/>
  <c r="X6" i="4"/>
  <c r="O34" i="4"/>
  <c r="C22" i="4"/>
  <c r="H21" i="4"/>
  <c r="D22" i="4"/>
  <c r="C7" i="1"/>
  <c r="D7" i="1"/>
  <c r="E7" i="1"/>
  <c r="H9" i="4"/>
  <c r="E10" i="4"/>
  <c r="D10" i="4"/>
  <c r="C10" i="4"/>
  <c r="D7" i="3"/>
  <c r="E7" i="3"/>
  <c r="H6" i="3"/>
  <c r="Q7" i="1"/>
  <c r="N8" i="1"/>
  <c r="M8" i="1"/>
  <c r="O8" i="1" s="1"/>
  <c r="L8" i="1"/>
  <c r="H5" i="2"/>
  <c r="G6" i="2"/>
  <c r="H6" i="1"/>
  <c r="AL607" i="4" l="1"/>
  <c r="AK608" i="4"/>
  <c r="AF609" i="4" s="1"/>
  <c r="AI608" i="4"/>
  <c r="AH608" i="4"/>
  <c r="AJ608" i="4" s="1"/>
  <c r="AG608" i="4"/>
  <c r="AL413" i="4"/>
  <c r="AI414" i="4"/>
  <c r="AH414" i="4"/>
  <c r="AJ414" i="4" s="1"/>
  <c r="AG414" i="4"/>
  <c r="AK414" i="4" s="1"/>
  <c r="AF415" i="4" s="1"/>
  <c r="AG147" i="4"/>
  <c r="AH147" i="4"/>
  <c r="AI147" i="4"/>
  <c r="AL146" i="4"/>
  <c r="AL120" i="4"/>
  <c r="AI121" i="4"/>
  <c r="AH121" i="4"/>
  <c r="AJ121" i="4" s="1"/>
  <c r="AG121" i="4"/>
  <c r="AK121" i="4" s="1"/>
  <c r="AF122" i="4" s="1"/>
  <c r="AG24" i="4"/>
  <c r="AH24" i="4"/>
  <c r="AI24" i="4"/>
  <c r="AL23" i="4"/>
  <c r="AJ6" i="4"/>
  <c r="AK6" i="4"/>
  <c r="AF7" i="4" s="1"/>
  <c r="T23" i="4"/>
  <c r="T24" i="4"/>
  <c r="Q24" i="4"/>
  <c r="P24" i="4"/>
  <c r="O24" i="4"/>
  <c r="J12" i="5"/>
  <c r="K11" i="5" s="1"/>
  <c r="B10" i="7"/>
  <c r="C9" i="7" s="1"/>
  <c r="F22" i="4"/>
  <c r="G22" i="4" s="1"/>
  <c r="B23" i="4" s="1"/>
  <c r="G12" i="5"/>
  <c r="B12" i="5"/>
  <c r="C11" i="5" s="1"/>
  <c r="AA89" i="4"/>
  <c r="AB89" i="4" s="1"/>
  <c r="W90" i="4" s="1"/>
  <c r="AA6" i="4"/>
  <c r="AB6" i="4" s="1"/>
  <c r="W7" i="4" s="1"/>
  <c r="AA22" i="4"/>
  <c r="AB22" i="4" s="1"/>
  <c r="W23" i="4" s="1"/>
  <c r="R34" i="4"/>
  <c r="S34" i="4" s="1"/>
  <c r="N35" i="4" s="1"/>
  <c r="F33" i="4"/>
  <c r="G33" i="4" s="1"/>
  <c r="B34" i="4" s="1"/>
  <c r="F10" i="4"/>
  <c r="G10" i="4" s="1"/>
  <c r="B11" i="4" s="1"/>
  <c r="F7" i="1"/>
  <c r="G7" i="1" s="1"/>
  <c r="B8" i="1" s="1"/>
  <c r="C8" i="1" s="1"/>
  <c r="P8" i="1"/>
  <c r="K9" i="1" s="1"/>
  <c r="N9" i="1" s="1"/>
  <c r="F7" i="3"/>
  <c r="G7" i="3" s="1"/>
  <c r="B8" i="3" s="1"/>
  <c r="C8" i="3" s="1"/>
  <c r="Q8" i="1"/>
  <c r="M9" i="1"/>
  <c r="G7" i="2"/>
  <c r="H6" i="2"/>
  <c r="AL608" i="4" l="1"/>
  <c r="AI609" i="4"/>
  <c r="AH609" i="4"/>
  <c r="AJ609" i="4" s="1"/>
  <c r="AG609" i="4"/>
  <c r="AK609" i="4" s="1"/>
  <c r="AF610" i="4" s="1"/>
  <c r="AL414" i="4"/>
  <c r="AI415" i="4"/>
  <c r="AH415" i="4"/>
  <c r="AJ415" i="4" s="1"/>
  <c r="AG415" i="4"/>
  <c r="AK415" i="4" s="1"/>
  <c r="AF416" i="4" s="1"/>
  <c r="AJ147" i="4"/>
  <c r="AK147" i="4" s="1"/>
  <c r="AF148" i="4" s="1"/>
  <c r="AL121" i="4"/>
  <c r="AH122" i="4"/>
  <c r="AJ122" i="4" s="1"/>
  <c r="AK122" i="4" s="1"/>
  <c r="AF123" i="4" s="1"/>
  <c r="AG122" i="4"/>
  <c r="AI122" i="4"/>
  <c r="AJ24" i="4"/>
  <c r="AK24" i="4" s="1"/>
  <c r="AF25" i="4" s="1"/>
  <c r="AI7" i="4"/>
  <c r="AL6" i="4"/>
  <c r="AG7" i="4"/>
  <c r="AH7" i="4"/>
  <c r="AJ7" i="4" s="1"/>
  <c r="R24" i="4"/>
  <c r="S24" i="4" s="1"/>
  <c r="J13" i="5"/>
  <c r="K12" i="5" s="1"/>
  <c r="B11" i="7"/>
  <c r="C10" i="7" s="1"/>
  <c r="C23" i="4"/>
  <c r="G13" i="5"/>
  <c r="B13" i="5"/>
  <c r="C12" i="5" s="1"/>
  <c r="AC89" i="4"/>
  <c r="X90" i="4"/>
  <c r="Y90" i="4"/>
  <c r="Z90" i="4"/>
  <c r="Y7" i="4"/>
  <c r="Z7" i="4"/>
  <c r="Z23" i="4"/>
  <c r="Y23" i="4"/>
  <c r="P35" i="4"/>
  <c r="Q35" i="4"/>
  <c r="AC22" i="4"/>
  <c r="X23" i="4"/>
  <c r="E34" i="4"/>
  <c r="C34" i="4"/>
  <c r="D34" i="4"/>
  <c r="H33" i="4"/>
  <c r="T34" i="4"/>
  <c r="O35" i="4"/>
  <c r="X7" i="4"/>
  <c r="AC6" i="4"/>
  <c r="H22" i="4"/>
  <c r="E23" i="4"/>
  <c r="D23" i="4"/>
  <c r="D11" i="4"/>
  <c r="E11" i="4"/>
  <c r="H10" i="4"/>
  <c r="C11" i="4"/>
  <c r="L9" i="1"/>
  <c r="H7" i="3"/>
  <c r="E8" i="3"/>
  <c r="D8" i="3"/>
  <c r="O9" i="1"/>
  <c r="H7" i="2"/>
  <c r="G8" i="2"/>
  <c r="E8" i="1"/>
  <c r="D8" i="1"/>
  <c r="H7" i="1"/>
  <c r="AL609" i="4" l="1"/>
  <c r="AI610" i="4"/>
  <c r="AH610" i="4"/>
  <c r="AJ610" i="4" s="1"/>
  <c r="AG610" i="4"/>
  <c r="AK610" i="4" s="1"/>
  <c r="AF611" i="4" s="1"/>
  <c r="AL415" i="4"/>
  <c r="AI416" i="4"/>
  <c r="AH416" i="4"/>
  <c r="AG416" i="4"/>
  <c r="AG148" i="4"/>
  <c r="AH148" i="4"/>
  <c r="AJ148" i="4" s="1"/>
  <c r="AK148" i="4" s="1"/>
  <c r="AF149" i="4" s="1"/>
  <c r="AI148" i="4"/>
  <c r="AL147" i="4"/>
  <c r="AI123" i="4"/>
  <c r="AG123" i="4"/>
  <c r="AK123" i="4" s="1"/>
  <c r="AF124" i="4" s="1"/>
  <c r="AL122" i="4"/>
  <c r="AH123" i="4"/>
  <c r="AJ123" i="4" s="1"/>
  <c r="AG25" i="4"/>
  <c r="AH25" i="4"/>
  <c r="AI25" i="4"/>
  <c r="AL24" i="4"/>
  <c r="AK7" i="4"/>
  <c r="AF8" i="4" s="1"/>
  <c r="AH8" i="4"/>
  <c r="K13" i="5"/>
  <c r="B12" i="7"/>
  <c r="C11" i="7" s="1"/>
  <c r="G14" i="5"/>
  <c r="B14" i="5"/>
  <c r="C13" i="5" s="1"/>
  <c r="AA90" i="4"/>
  <c r="AB90" i="4" s="1"/>
  <c r="W91" i="4" s="1"/>
  <c r="AA23" i="4"/>
  <c r="AB23" i="4" s="1"/>
  <c r="W24" i="4" s="1"/>
  <c r="Y91" i="4"/>
  <c r="AC90" i="4"/>
  <c r="AA7" i="4"/>
  <c r="AB7" i="4" s="1"/>
  <c r="W8" i="4" s="1"/>
  <c r="R35" i="4"/>
  <c r="S35" i="4" s="1"/>
  <c r="N36" i="4" s="1"/>
  <c r="F34" i="4"/>
  <c r="G34" i="4" s="1"/>
  <c r="B35" i="4" s="1"/>
  <c r="F11" i="4"/>
  <c r="G11" i="4" s="1"/>
  <c r="B12" i="4" s="1"/>
  <c r="E12" i="4" s="1"/>
  <c r="F23" i="4"/>
  <c r="G23" i="4" s="1"/>
  <c r="B24" i="4" s="1"/>
  <c r="P9" i="1"/>
  <c r="K10" i="1" s="1"/>
  <c r="L10" i="1" s="1"/>
  <c r="F8" i="1"/>
  <c r="G8" i="1" s="1"/>
  <c r="B9" i="1" s="1"/>
  <c r="C9" i="1" s="1"/>
  <c r="F8" i="3"/>
  <c r="G8" i="3" s="1"/>
  <c r="B9" i="3" s="1"/>
  <c r="H8" i="3" s="1"/>
  <c r="G9" i="2"/>
  <c r="H8" i="2"/>
  <c r="AL610" i="4" l="1"/>
  <c r="AI611" i="4"/>
  <c r="AH611" i="4"/>
  <c r="AJ611" i="4" s="1"/>
  <c r="AG611" i="4"/>
  <c r="AK611" i="4" s="1"/>
  <c r="AF612" i="4" s="1"/>
  <c r="AJ416" i="4"/>
  <c r="AK416" i="4" s="1"/>
  <c r="AF417" i="4" s="1"/>
  <c r="AL148" i="4"/>
  <c r="AI149" i="4"/>
  <c r="AH149" i="4"/>
  <c r="AJ149" i="4" s="1"/>
  <c r="AG149" i="4"/>
  <c r="AK149" i="4" s="1"/>
  <c r="AF150" i="4" s="1"/>
  <c r="AH124" i="4"/>
  <c r="AG124" i="4"/>
  <c r="AL123" i="4"/>
  <c r="AI124" i="4"/>
  <c r="AJ25" i="4"/>
  <c r="AK25" i="4" s="1"/>
  <c r="AF26" i="4" s="1"/>
  <c r="AI8" i="4"/>
  <c r="AJ8" i="4" s="1"/>
  <c r="AK8" i="4" s="1"/>
  <c r="AF9" i="4" s="1"/>
  <c r="AL7" i="4"/>
  <c r="AG8" i="4"/>
  <c r="B13" i="7"/>
  <c r="C12" i="7" s="1"/>
  <c r="Z91" i="4"/>
  <c r="X91" i="4"/>
  <c r="E24" i="4"/>
  <c r="G15" i="5"/>
  <c r="B15" i="5"/>
  <c r="C14" i="5" s="1"/>
  <c r="AA91" i="4"/>
  <c r="Y8" i="4"/>
  <c r="Z8" i="4"/>
  <c r="Z24" i="4"/>
  <c r="Y24" i="4"/>
  <c r="P36" i="4"/>
  <c r="Q36" i="4"/>
  <c r="AC23" i="4"/>
  <c r="X24" i="4"/>
  <c r="E35" i="4"/>
  <c r="H34" i="4"/>
  <c r="D35" i="4"/>
  <c r="C35" i="4"/>
  <c r="O36" i="4"/>
  <c r="T35" i="4"/>
  <c r="AC7" i="4"/>
  <c r="X8" i="4"/>
  <c r="D12" i="4"/>
  <c r="F12" i="4" s="1"/>
  <c r="H23" i="4"/>
  <c r="C24" i="4"/>
  <c r="C12" i="4"/>
  <c r="H11" i="4"/>
  <c r="D24" i="4"/>
  <c r="M10" i="1"/>
  <c r="Q9" i="1"/>
  <c r="N10" i="1"/>
  <c r="C9" i="3"/>
  <c r="E9" i="3"/>
  <c r="D9" i="3"/>
  <c r="H9" i="2"/>
  <c r="G10" i="2"/>
  <c r="E9" i="1"/>
  <c r="D9" i="1"/>
  <c r="F9" i="1" s="1"/>
  <c r="H8" i="1"/>
  <c r="AL611" i="4" l="1"/>
  <c r="AI612" i="4"/>
  <c r="AH612" i="4"/>
  <c r="AJ612" i="4" s="1"/>
  <c r="AG612" i="4"/>
  <c r="AK612" i="4" s="1"/>
  <c r="AF613" i="4" s="1"/>
  <c r="AG417" i="4"/>
  <c r="AH417" i="4"/>
  <c r="AI417" i="4"/>
  <c r="AL416" i="4"/>
  <c r="AL149" i="4"/>
  <c r="AI150" i="4"/>
  <c r="AH150" i="4"/>
  <c r="AG150" i="4"/>
  <c r="AJ124" i="4"/>
  <c r="AK124" i="4" s="1"/>
  <c r="AF125" i="4" s="1"/>
  <c r="AG26" i="4"/>
  <c r="AK26" i="4" s="1"/>
  <c r="AF27" i="4" s="1"/>
  <c r="AH26" i="4"/>
  <c r="AJ26" i="4" s="1"/>
  <c r="AI26" i="4"/>
  <c r="AL25" i="4"/>
  <c r="AH9" i="4"/>
  <c r="AI9" i="4"/>
  <c r="AG9" i="4"/>
  <c r="AL8" i="4"/>
  <c r="B14" i="7"/>
  <c r="C13" i="7" s="1"/>
  <c r="AB91" i="4"/>
  <c r="W92" i="4" s="1"/>
  <c r="AC91" i="4" s="1"/>
  <c r="F24" i="4"/>
  <c r="G16" i="5"/>
  <c r="B16" i="5"/>
  <c r="C15" i="5" s="1"/>
  <c r="AA24" i="4"/>
  <c r="Z92" i="4"/>
  <c r="Y92" i="4"/>
  <c r="X92" i="4"/>
  <c r="AA8" i="4"/>
  <c r="AB8" i="4" s="1"/>
  <c r="W9" i="4" s="1"/>
  <c r="R36" i="4"/>
  <c r="S36" i="4" s="1"/>
  <c r="N37" i="4" s="1"/>
  <c r="Q37" i="4" s="1"/>
  <c r="AB24" i="4"/>
  <c r="W25" i="4" s="1"/>
  <c r="G24" i="4"/>
  <c r="B25" i="4" s="1"/>
  <c r="B19" i="4" s="1"/>
  <c r="F35" i="4"/>
  <c r="G35" i="4" s="1"/>
  <c r="B36" i="4" s="1"/>
  <c r="G12" i="4"/>
  <c r="B13" i="4" s="1"/>
  <c r="O10" i="1"/>
  <c r="P10" i="1" s="1"/>
  <c r="K11" i="1" s="1"/>
  <c r="Q10" i="1" s="1"/>
  <c r="F9" i="3"/>
  <c r="G9" i="3" s="1"/>
  <c r="B10" i="3" s="1"/>
  <c r="E10" i="3" s="1"/>
  <c r="N11" i="1"/>
  <c r="M11" i="1"/>
  <c r="L11" i="1"/>
  <c r="H10" i="2"/>
  <c r="G11" i="2"/>
  <c r="G9" i="1"/>
  <c r="B10" i="1"/>
  <c r="C10" i="1" s="1"/>
  <c r="AL612" i="4" l="1"/>
  <c r="AI613" i="4"/>
  <c r="AH613" i="4"/>
  <c r="AJ613" i="4" s="1"/>
  <c r="AG613" i="4"/>
  <c r="AK613" i="4" s="1"/>
  <c r="AF614" i="4" s="1"/>
  <c r="AJ417" i="4"/>
  <c r="AK417" i="4" s="1"/>
  <c r="AF418" i="4" s="1"/>
  <c r="AJ150" i="4"/>
  <c r="AK150" i="4" s="1"/>
  <c r="AF151" i="4" s="1"/>
  <c r="AH125" i="4"/>
  <c r="AL124" i="4"/>
  <c r="AG125" i="4"/>
  <c r="AI125" i="4"/>
  <c r="AL26" i="4"/>
  <c r="AK27" i="4"/>
  <c r="AF28" i="4" s="1"/>
  <c r="AI27" i="4"/>
  <c r="AH27" i="4"/>
  <c r="AJ27" i="4" s="1"/>
  <c r="AG27" i="4"/>
  <c r="AJ9" i="4"/>
  <c r="AK9" i="4"/>
  <c r="AF10" i="4" s="1"/>
  <c r="B15" i="7"/>
  <c r="C14" i="7" s="1"/>
  <c r="I24" i="4"/>
  <c r="K24" i="4" s="1"/>
  <c r="I23" i="4"/>
  <c r="K23" i="4" s="1"/>
  <c r="I22" i="4"/>
  <c r="I21" i="4"/>
  <c r="E13" i="4"/>
  <c r="G17" i="5"/>
  <c r="B17" i="5"/>
  <c r="C16" i="5" s="1"/>
  <c r="AA92" i="4"/>
  <c r="AB92" i="4" s="1"/>
  <c r="W93" i="4" s="1"/>
  <c r="Y9" i="4"/>
  <c r="Z9" i="4"/>
  <c r="Z25" i="4"/>
  <c r="Y25" i="4"/>
  <c r="AC24" i="4"/>
  <c r="X25" i="4"/>
  <c r="O37" i="4"/>
  <c r="P37" i="4"/>
  <c r="R37" i="4" s="1"/>
  <c r="C25" i="4"/>
  <c r="E25" i="4"/>
  <c r="D25" i="4"/>
  <c r="H24" i="4"/>
  <c r="H35" i="4"/>
  <c r="C36" i="4"/>
  <c r="E36" i="4"/>
  <c r="D36" i="4"/>
  <c r="T36" i="4"/>
  <c r="X9" i="4"/>
  <c r="AC8" i="4"/>
  <c r="C13" i="4"/>
  <c r="D13" i="4"/>
  <c r="H12" i="4"/>
  <c r="C10" i="3"/>
  <c r="H9" i="3"/>
  <c r="D10" i="3"/>
  <c r="F10" i="3" s="1"/>
  <c r="O11" i="1"/>
  <c r="P11" i="1" s="1"/>
  <c r="K12" i="1" s="1"/>
  <c r="H11" i="2"/>
  <c r="G12" i="2"/>
  <c r="E10" i="1"/>
  <c r="D10" i="1"/>
  <c r="H9" i="1"/>
  <c r="AL613" i="4" l="1"/>
  <c r="AI614" i="4"/>
  <c r="AH614" i="4"/>
  <c r="AG614" i="4"/>
  <c r="AG418" i="4"/>
  <c r="AH418" i="4"/>
  <c r="AI418" i="4"/>
  <c r="AL417" i="4"/>
  <c r="AG151" i="4"/>
  <c r="AH151" i="4"/>
  <c r="AI151" i="4"/>
  <c r="AL150" i="4"/>
  <c r="AJ125" i="4"/>
  <c r="AK125" i="4" s="1"/>
  <c r="AF126" i="4" s="1"/>
  <c r="AL27" i="4"/>
  <c r="AI28" i="4"/>
  <c r="AH28" i="4"/>
  <c r="AJ28" i="4" s="1"/>
  <c r="AG28" i="4"/>
  <c r="AK28" i="4" s="1"/>
  <c r="AF29" i="4" s="1"/>
  <c r="AH10" i="4"/>
  <c r="AI10" i="4"/>
  <c r="AG10" i="4"/>
  <c r="AL9" i="4"/>
  <c r="B16" i="7"/>
  <c r="C15" i="7" s="1"/>
  <c r="AA25" i="4"/>
  <c r="AB25" i="4" s="1"/>
  <c r="W26" i="4" s="1"/>
  <c r="Y26" i="4" s="1"/>
  <c r="J22" i="4"/>
  <c r="K22" i="4"/>
  <c r="F13" i="4"/>
  <c r="G13" i="4" s="1"/>
  <c r="B14" i="4" s="1"/>
  <c r="G18" i="5"/>
  <c r="F7" i="5" s="1" a="1"/>
  <c r="F7" i="5" s="1"/>
  <c r="B18" i="5"/>
  <c r="C17" i="5" s="1"/>
  <c r="F36" i="4"/>
  <c r="G36" i="4" s="1"/>
  <c r="B37" i="4" s="1"/>
  <c r="D37" i="4" s="1"/>
  <c r="Y93" i="4"/>
  <c r="X93" i="4"/>
  <c r="AC92" i="4"/>
  <c r="Z93" i="4"/>
  <c r="F25" i="4"/>
  <c r="G25" i="4" s="1"/>
  <c r="B26" i="4" s="1"/>
  <c r="H25" i="4" s="1"/>
  <c r="AA9" i="4"/>
  <c r="AB9" i="4" s="1"/>
  <c r="W10" i="4" s="1"/>
  <c r="S37" i="4"/>
  <c r="N38" i="4" s="1"/>
  <c r="Q38" i="4" s="1"/>
  <c r="J24" i="4"/>
  <c r="J23" i="4"/>
  <c r="G10" i="3"/>
  <c r="B11" i="3" s="1"/>
  <c r="H10" i="3" s="1"/>
  <c r="Q11" i="1"/>
  <c r="H12" i="2"/>
  <c r="G13" i="2"/>
  <c r="F10" i="1"/>
  <c r="G10" i="1" s="1"/>
  <c r="B11" i="1" s="1"/>
  <c r="AJ614" i="4" l="1"/>
  <c r="AK614" i="4" s="1"/>
  <c r="AF615" i="4" s="1"/>
  <c r="AJ418" i="4"/>
  <c r="AK418" i="4" s="1"/>
  <c r="AF419" i="4" s="1"/>
  <c r="AJ151" i="4"/>
  <c r="AK151" i="4" s="1"/>
  <c r="AF152" i="4" s="1"/>
  <c r="AH126" i="4"/>
  <c r="AL125" i="4"/>
  <c r="AG126" i="4"/>
  <c r="AI126" i="4"/>
  <c r="AL28" i="4"/>
  <c r="AI29" i="4"/>
  <c r="AH29" i="4"/>
  <c r="AJ29" i="4" s="1"/>
  <c r="AG29" i="4"/>
  <c r="AK29" i="4" s="1"/>
  <c r="AF30" i="4" s="1"/>
  <c r="AJ10" i="4"/>
  <c r="AK10" i="4"/>
  <c r="AF11" i="4" s="1"/>
  <c r="B17" i="7"/>
  <c r="C16" i="7" s="1"/>
  <c r="H13" i="4"/>
  <c r="B19" i="5"/>
  <c r="C18" i="5" s="1"/>
  <c r="H36" i="4"/>
  <c r="E14" i="4"/>
  <c r="AA93" i="4"/>
  <c r="AB93" i="4" s="1"/>
  <c r="W94" i="4" s="1"/>
  <c r="Y10" i="4"/>
  <c r="Z10" i="4"/>
  <c r="AC25" i="4"/>
  <c r="Z26" i="4"/>
  <c r="D14" i="4"/>
  <c r="X26" i="4"/>
  <c r="C37" i="4"/>
  <c r="T37" i="4"/>
  <c r="P38" i="4"/>
  <c r="R38" i="4" s="1"/>
  <c r="C14" i="4"/>
  <c r="E37" i="4"/>
  <c r="F37" i="4" s="1"/>
  <c r="O38" i="4"/>
  <c r="AC9" i="4"/>
  <c r="X10" i="4"/>
  <c r="C11" i="1"/>
  <c r="C11" i="3"/>
  <c r="E11" i="3"/>
  <c r="D11" i="3"/>
  <c r="H13" i="2"/>
  <c r="G14" i="2"/>
  <c r="E11" i="1"/>
  <c r="D11" i="1"/>
  <c r="H10" i="1"/>
  <c r="AG615" i="4" l="1"/>
  <c r="AH615" i="4"/>
  <c r="AJ615" i="4" s="1"/>
  <c r="AK615" i="4" s="1"/>
  <c r="AF616" i="4" s="1"/>
  <c r="AI615" i="4"/>
  <c r="AL614" i="4"/>
  <c r="AG419" i="4"/>
  <c r="AH419" i="4"/>
  <c r="AI419" i="4"/>
  <c r="AL418" i="4"/>
  <c r="AG152" i="4"/>
  <c r="AH152" i="4"/>
  <c r="AJ152" i="4" s="1"/>
  <c r="AK152" i="4" s="1"/>
  <c r="AF153" i="4" s="1"/>
  <c r="AI152" i="4"/>
  <c r="AL151" i="4"/>
  <c r="AJ126" i="4"/>
  <c r="AK126" i="4" s="1"/>
  <c r="AF127" i="4" s="1"/>
  <c r="AL29" i="4"/>
  <c r="AI30" i="4"/>
  <c r="AH30" i="4"/>
  <c r="AJ30" i="4" s="1"/>
  <c r="AG30" i="4"/>
  <c r="AK30" i="4" s="1"/>
  <c r="AF31" i="4" s="1"/>
  <c r="AH11" i="4"/>
  <c r="AI11" i="4"/>
  <c r="AG11" i="4"/>
  <c r="AL10" i="4"/>
  <c r="B18" i="7"/>
  <c r="C17" i="7" s="1"/>
  <c r="F14" i="4"/>
  <c r="G14" i="4" s="1"/>
  <c r="B15" i="4" s="1"/>
  <c r="B20" i="5"/>
  <c r="C19" i="5" s="1"/>
  <c r="X94" i="4"/>
  <c r="AC93" i="4"/>
  <c r="Z94" i="4"/>
  <c r="Y94" i="4"/>
  <c r="AA10" i="4"/>
  <c r="AB10" i="4" s="1"/>
  <c r="W11" i="4" s="1"/>
  <c r="AA26" i="4"/>
  <c r="AB26" i="4" s="1"/>
  <c r="W27" i="4" s="1"/>
  <c r="G37" i="4"/>
  <c r="B38" i="4" s="1"/>
  <c r="C38" i="4" s="1"/>
  <c r="S38" i="4"/>
  <c r="N39" i="4" s="1"/>
  <c r="Q39" i="4" s="1"/>
  <c r="F11" i="1"/>
  <c r="G11" i="1" s="1"/>
  <c r="B12" i="1" s="1"/>
  <c r="C12" i="1" s="1"/>
  <c r="F11" i="3"/>
  <c r="G11" i="3" s="1"/>
  <c r="B12" i="3" s="1"/>
  <c r="C12" i="3" s="1"/>
  <c r="H14" i="2"/>
  <c r="G15" i="2"/>
  <c r="AL615" i="4" l="1"/>
  <c r="AI616" i="4"/>
  <c r="AH616" i="4"/>
  <c r="AG616" i="4"/>
  <c r="AJ419" i="4"/>
  <c r="AK419" i="4" s="1"/>
  <c r="AF420" i="4" s="1"/>
  <c r="AL152" i="4"/>
  <c r="AI153" i="4"/>
  <c r="AH153" i="4"/>
  <c r="AJ153" i="4" s="1"/>
  <c r="AG153" i="4"/>
  <c r="AK153" i="4" s="1"/>
  <c r="AF154" i="4" s="1"/>
  <c r="AH127" i="4"/>
  <c r="AL127" i="4"/>
  <c r="AG127" i="4"/>
  <c r="AI127" i="4"/>
  <c r="AL126" i="4"/>
  <c r="AL30" i="4"/>
  <c r="AI31" i="4"/>
  <c r="AH31" i="4"/>
  <c r="AJ31" i="4" s="1"/>
  <c r="AG31" i="4"/>
  <c r="AK31" i="4" s="1"/>
  <c r="AF32" i="4" s="1"/>
  <c r="AJ11" i="4"/>
  <c r="AK11" i="4" s="1"/>
  <c r="AF12" i="4" s="1"/>
  <c r="AH12" i="4"/>
  <c r="AI12" i="4"/>
  <c r="AL11" i="4"/>
  <c r="AG12" i="4"/>
  <c r="B19" i="7"/>
  <c r="C18" i="7" s="1"/>
  <c r="D15" i="4"/>
  <c r="E15" i="4"/>
  <c r="H14" i="4"/>
  <c r="C15" i="4"/>
  <c r="B21" i="5"/>
  <c r="C20" i="5" s="1"/>
  <c r="E38" i="4"/>
  <c r="H37" i="4"/>
  <c r="D38" i="4"/>
  <c r="AA94" i="4"/>
  <c r="AB94" i="4"/>
  <c r="W95" i="4" s="1"/>
  <c r="AC94" i="4" s="1"/>
  <c r="AB33" i="4"/>
  <c r="W34" i="4" s="1"/>
  <c r="Y11" i="4"/>
  <c r="Z11" i="4"/>
  <c r="Z27" i="4"/>
  <c r="Y27" i="4"/>
  <c r="W19" i="4"/>
  <c r="O11" i="4" s="1"/>
  <c r="X27" i="4"/>
  <c r="AC26" i="4"/>
  <c r="T38" i="4"/>
  <c r="P39" i="4"/>
  <c r="R39" i="4" s="1"/>
  <c r="O39" i="4"/>
  <c r="X11" i="4"/>
  <c r="AC10" i="4"/>
  <c r="D12" i="3"/>
  <c r="E12" i="3"/>
  <c r="H11" i="3"/>
  <c r="G16" i="2"/>
  <c r="H15" i="2"/>
  <c r="E12" i="1"/>
  <c r="D12" i="1"/>
  <c r="H11" i="1"/>
  <c r="AJ616" i="4" l="1"/>
  <c r="AK616" i="4" s="1"/>
  <c r="AF617" i="4" s="1"/>
  <c r="AG420" i="4"/>
  <c r="AH420" i="4"/>
  <c r="AI420" i="4"/>
  <c r="AL419" i="4"/>
  <c r="AL153" i="4"/>
  <c r="AI154" i="4"/>
  <c r="AH154" i="4"/>
  <c r="AJ154" i="4" s="1"/>
  <c r="AG154" i="4"/>
  <c r="AK154" i="4" s="1"/>
  <c r="AF155" i="4" s="1"/>
  <c r="AJ127" i="4"/>
  <c r="AK127" i="4" s="1"/>
  <c r="AL31" i="4"/>
  <c r="AI32" i="4"/>
  <c r="AH32" i="4"/>
  <c r="AJ32" i="4" s="1"/>
  <c r="AG32" i="4"/>
  <c r="AK32" i="4" s="1"/>
  <c r="AF33" i="4" s="1"/>
  <c r="AJ12" i="4"/>
  <c r="AK12" i="4"/>
  <c r="AF13" i="4" s="1"/>
  <c r="B20" i="7"/>
  <c r="C19" i="7" s="1"/>
  <c r="Y34" i="4"/>
  <c r="X34" i="4"/>
  <c r="F38" i="4"/>
  <c r="G38" i="4" s="1"/>
  <c r="B39" i="4" s="1"/>
  <c r="F15" i="4"/>
  <c r="G15" i="4"/>
  <c r="B16" i="4" s="1"/>
  <c r="H15" i="4" s="1"/>
  <c r="B7" i="4" s="1" a="1"/>
  <c r="B7" i="4" s="1"/>
  <c r="B22" i="5"/>
  <c r="C21" i="5" s="1"/>
  <c r="X95" i="4"/>
  <c r="Y95" i="4"/>
  <c r="Z95" i="4"/>
  <c r="AC33" i="4"/>
  <c r="AA11" i="4"/>
  <c r="AB11" i="4" s="1"/>
  <c r="W12" i="4" s="1"/>
  <c r="AA27" i="4"/>
  <c r="AB27" i="4" s="1"/>
  <c r="W28" i="4" s="1"/>
  <c r="AC28" i="4" s="1"/>
  <c r="S39" i="4"/>
  <c r="N40" i="4" s="1"/>
  <c r="Q40" i="4" s="1"/>
  <c r="F12" i="1"/>
  <c r="G12" i="1" s="1"/>
  <c r="B13" i="1" s="1"/>
  <c r="F12" i="3"/>
  <c r="G12" i="3" s="1"/>
  <c r="B13" i="3" s="1"/>
  <c r="G17" i="2"/>
  <c r="H16" i="2"/>
  <c r="AG617" i="4" l="1"/>
  <c r="AH617" i="4"/>
  <c r="AI617" i="4"/>
  <c r="AL616" i="4"/>
  <c r="AJ420" i="4"/>
  <c r="AK420" i="4" s="1"/>
  <c r="AF421" i="4" s="1"/>
  <c r="AL154" i="4"/>
  <c r="AI155" i="4"/>
  <c r="AH155" i="4"/>
  <c r="AJ155" i="4" s="1"/>
  <c r="AG155" i="4"/>
  <c r="AK155" i="4" s="1"/>
  <c r="AF156" i="4" s="1"/>
  <c r="AL32" i="4"/>
  <c r="AI33" i="4"/>
  <c r="AH33" i="4"/>
  <c r="AJ33" i="4" s="1"/>
  <c r="AG33" i="4"/>
  <c r="AK33" i="4" s="1"/>
  <c r="AF34" i="4" s="1"/>
  <c r="AG13" i="4"/>
  <c r="AI13" i="4"/>
  <c r="AL12" i="4"/>
  <c r="AH13" i="4"/>
  <c r="B21" i="7"/>
  <c r="C20" i="7" s="1"/>
  <c r="D39" i="4"/>
  <c r="E39" i="4"/>
  <c r="H38" i="4"/>
  <c r="C39" i="4"/>
  <c r="I9" i="4"/>
  <c r="I10" i="4"/>
  <c r="I11" i="4"/>
  <c r="I12" i="4"/>
  <c r="I13" i="4"/>
  <c r="I14" i="4"/>
  <c r="B23" i="5"/>
  <c r="C22" i="5" s="1"/>
  <c r="AA34" i="4"/>
  <c r="AB34" i="4" s="1"/>
  <c r="W35" i="4" s="1"/>
  <c r="AA95" i="4"/>
  <c r="AB95" i="4" s="1"/>
  <c r="W96" i="4" s="1"/>
  <c r="Y12" i="4"/>
  <c r="Z12" i="4"/>
  <c r="Z28" i="4"/>
  <c r="Y28" i="4"/>
  <c r="AC27" i="4"/>
  <c r="X28" i="4"/>
  <c r="T39" i="4"/>
  <c r="P40" i="4"/>
  <c r="R40" i="4" s="1"/>
  <c r="F39" i="4"/>
  <c r="G39" i="4" s="1"/>
  <c r="B40" i="4" s="1"/>
  <c r="O40" i="4"/>
  <c r="X12" i="4"/>
  <c r="AC11" i="4"/>
  <c r="C13" i="3"/>
  <c r="E13" i="3"/>
  <c r="D13" i="3"/>
  <c r="H12" i="3"/>
  <c r="H17" i="2"/>
  <c r="G18" i="2"/>
  <c r="H12" i="1"/>
  <c r="AJ617" i="4" l="1"/>
  <c r="AK617" i="4" s="1"/>
  <c r="AF618" i="4" s="1"/>
  <c r="AG421" i="4"/>
  <c r="AH421" i="4"/>
  <c r="AI421" i="4"/>
  <c r="AL420" i="4"/>
  <c r="AL155" i="4"/>
  <c r="AK156" i="4"/>
  <c r="AF157" i="4" s="1"/>
  <c r="AI156" i="4"/>
  <c r="AH156" i="4"/>
  <c r="AJ156" i="4" s="1"/>
  <c r="AG156" i="4"/>
  <c r="AL33" i="4"/>
  <c r="AI34" i="4"/>
  <c r="AH34" i="4"/>
  <c r="AJ34" i="4" s="1"/>
  <c r="AK34" i="4" s="1"/>
  <c r="AF35" i="4" s="1"/>
  <c r="AG34" i="4"/>
  <c r="AJ13" i="4"/>
  <c r="AK13" i="4" s="1"/>
  <c r="AF14" i="4" s="1"/>
  <c r="AL13" i="4"/>
  <c r="X35" i="4"/>
  <c r="Z35" i="4"/>
  <c r="B22" i="7"/>
  <c r="C21" i="7" s="1"/>
  <c r="K13" i="4"/>
  <c r="K10" i="4"/>
  <c r="K12" i="4"/>
  <c r="K11" i="4"/>
  <c r="J14" i="4"/>
  <c r="K14" i="4"/>
  <c r="J10" i="4"/>
  <c r="J11" i="4"/>
  <c r="J12" i="4"/>
  <c r="J13" i="4"/>
  <c r="B24" i="5"/>
  <c r="C23" i="5" s="1"/>
  <c r="AC34" i="4"/>
  <c r="Y35" i="4"/>
  <c r="Z96" i="4"/>
  <c r="Y96" i="4"/>
  <c r="X96" i="4"/>
  <c r="AC95" i="4"/>
  <c r="AA12" i="4"/>
  <c r="AB12" i="4" s="1"/>
  <c r="W13" i="4" s="1"/>
  <c r="AA28" i="4"/>
  <c r="AB28" i="4" s="1"/>
  <c r="H39" i="4"/>
  <c r="E40" i="4"/>
  <c r="C40" i="4"/>
  <c r="D40" i="4"/>
  <c r="S40" i="4"/>
  <c r="N41" i="4" s="1"/>
  <c r="Q41" i="4" s="1"/>
  <c r="F13" i="3"/>
  <c r="G13" i="3" s="1"/>
  <c r="B14" i="3" s="1"/>
  <c r="C14" i="3" s="1"/>
  <c r="H18" i="2"/>
  <c r="G19" i="2"/>
  <c r="AG618" i="4" l="1"/>
  <c r="AH618" i="4"/>
  <c r="AI618" i="4"/>
  <c r="AL617" i="4"/>
  <c r="AJ421" i="4"/>
  <c r="AK421" i="4" s="1"/>
  <c r="AF422" i="4" s="1"/>
  <c r="AL156" i="4"/>
  <c r="AI157" i="4"/>
  <c r="AH157" i="4"/>
  <c r="AJ157" i="4" s="1"/>
  <c r="AG157" i="4"/>
  <c r="AK157" i="4" s="1"/>
  <c r="AF158" i="4" s="1"/>
  <c r="AL34" i="4"/>
  <c r="AK35" i="4"/>
  <c r="AF36" i="4" s="1"/>
  <c r="AI35" i="4"/>
  <c r="AH35" i="4"/>
  <c r="AJ35" i="4" s="1"/>
  <c r="AG35" i="4"/>
  <c r="AI14" i="4"/>
  <c r="AH14" i="4"/>
  <c r="AJ14" i="4" s="1"/>
  <c r="AK14" i="4" s="1"/>
  <c r="AF15" i="4" s="1"/>
  <c r="AI15" i="4" s="1"/>
  <c r="AG14" i="4"/>
  <c r="B23" i="7"/>
  <c r="C22" i="7" s="1"/>
  <c r="AA96" i="4"/>
  <c r="AB96" i="4" s="1"/>
  <c r="W97" i="4" s="1"/>
  <c r="B25" i="5"/>
  <c r="C24" i="5" s="1"/>
  <c r="AA35" i="4"/>
  <c r="AB35" i="4" s="1"/>
  <c r="W36" i="4" s="1"/>
  <c r="Z97" i="4"/>
  <c r="X97" i="4"/>
  <c r="AC96" i="4"/>
  <c r="Y97" i="4"/>
  <c r="AA97" i="4" s="1"/>
  <c r="Y13" i="4"/>
  <c r="Z13" i="4"/>
  <c r="O41" i="4"/>
  <c r="P41" i="4"/>
  <c r="R41" i="4" s="1"/>
  <c r="F40" i="4"/>
  <c r="G40" i="4" s="1"/>
  <c r="B41" i="4" s="1"/>
  <c r="T40" i="4"/>
  <c r="X13" i="4"/>
  <c r="AC12" i="4"/>
  <c r="H13" i="3"/>
  <c r="E14" i="3"/>
  <c r="D14" i="3"/>
  <c r="G20" i="2"/>
  <c r="H19" i="2"/>
  <c r="AJ618" i="4" l="1"/>
  <c r="AK618" i="4" s="1"/>
  <c r="AF619" i="4" s="1"/>
  <c r="AG422" i="4"/>
  <c r="AH422" i="4"/>
  <c r="AJ422" i="4" s="1"/>
  <c r="AK422" i="4" s="1"/>
  <c r="AF423" i="4" s="1"/>
  <c r="AI422" i="4"/>
  <c r="AL421" i="4"/>
  <c r="AL157" i="4"/>
  <c r="AK158" i="4"/>
  <c r="AF159" i="4" s="1"/>
  <c r="AI158" i="4"/>
  <c r="AH158" i="4"/>
  <c r="AJ158" i="4" s="1"/>
  <c r="AG158" i="4"/>
  <c r="AL35" i="4"/>
  <c r="AK36" i="4"/>
  <c r="AF37" i="4" s="1"/>
  <c r="AI36" i="4"/>
  <c r="AH36" i="4"/>
  <c r="AJ36" i="4" s="1"/>
  <c r="AG36" i="4"/>
  <c r="AL14" i="4"/>
  <c r="AL15" i="4"/>
  <c r="AG15" i="4"/>
  <c r="AH15" i="4"/>
  <c r="AJ15" i="4" s="1"/>
  <c r="AK15" i="4" s="1"/>
  <c r="X36" i="4"/>
  <c r="Z36" i="4"/>
  <c r="B24" i="7"/>
  <c r="C23" i="7" s="1"/>
  <c r="Y36" i="4"/>
  <c r="AC35" i="4"/>
  <c r="B26" i="5"/>
  <c r="C25" i="5" s="1"/>
  <c r="AB97" i="4"/>
  <c r="W98" i="4" s="1"/>
  <c r="AA13" i="4"/>
  <c r="AB13" i="4" s="1"/>
  <c r="W14" i="4" s="1"/>
  <c r="W3" i="4" s="1"/>
  <c r="D41" i="4"/>
  <c r="H40" i="4"/>
  <c r="E41" i="4"/>
  <c r="C41" i="4"/>
  <c r="S41" i="4"/>
  <c r="N42" i="4" s="1"/>
  <c r="Q42" i="4" s="1"/>
  <c r="F14" i="3"/>
  <c r="G14" i="3" s="1"/>
  <c r="B15" i="3" s="1"/>
  <c r="E15" i="3" s="1"/>
  <c r="H20" i="2"/>
  <c r="G21" i="2"/>
  <c r="AG619" i="4" l="1"/>
  <c r="AH619" i="4"/>
  <c r="AI619" i="4"/>
  <c r="AL618" i="4"/>
  <c r="AL422" i="4"/>
  <c r="AI423" i="4"/>
  <c r="AH423" i="4"/>
  <c r="AJ423" i="4" s="1"/>
  <c r="AG423" i="4"/>
  <c r="AK423" i="4" s="1"/>
  <c r="AF424" i="4" s="1"/>
  <c r="AL158" i="4"/>
  <c r="AI159" i="4"/>
  <c r="AH159" i="4"/>
  <c r="AJ159" i="4" s="1"/>
  <c r="AG159" i="4"/>
  <c r="AK159" i="4" s="1"/>
  <c r="AF160" i="4" s="1"/>
  <c r="AL36" i="4"/>
  <c r="AI37" i="4"/>
  <c r="AH37" i="4"/>
  <c r="AJ37" i="4" s="1"/>
  <c r="AG37" i="4"/>
  <c r="AK37" i="4" s="1"/>
  <c r="AF38" i="4" s="1"/>
  <c r="B25" i="7"/>
  <c r="C24" i="7" s="1"/>
  <c r="AA36" i="4"/>
  <c r="AB36" i="4" s="1"/>
  <c r="W37" i="4" s="1"/>
  <c r="B27" i="5"/>
  <c r="X98" i="4"/>
  <c r="Y98" i="4"/>
  <c r="Z98" i="4"/>
  <c r="AC97" i="4"/>
  <c r="Z14" i="4"/>
  <c r="O13" i="4"/>
  <c r="Y14" i="4"/>
  <c r="P42" i="4"/>
  <c r="R42" i="4" s="1"/>
  <c r="T41" i="4"/>
  <c r="F41" i="4"/>
  <c r="G41" i="4" s="1"/>
  <c r="B42" i="4" s="1"/>
  <c r="O42" i="4"/>
  <c r="D15" i="3"/>
  <c r="F15" i="3" s="1"/>
  <c r="H14" i="3"/>
  <c r="C15" i="3"/>
  <c r="AC13" i="4"/>
  <c r="X14" i="4"/>
  <c r="G22" i="2"/>
  <c r="H21" i="2"/>
  <c r="AJ619" i="4" l="1"/>
  <c r="AK619" i="4" s="1"/>
  <c r="AF620" i="4" s="1"/>
  <c r="AL423" i="4"/>
  <c r="AI424" i="4"/>
  <c r="AH424" i="4"/>
  <c r="AJ424" i="4" s="1"/>
  <c r="AG424" i="4"/>
  <c r="AK424" i="4" s="1"/>
  <c r="AF425" i="4" s="1"/>
  <c r="AL159" i="4"/>
  <c r="AI160" i="4"/>
  <c r="AH160" i="4"/>
  <c r="AJ160" i="4" s="1"/>
  <c r="AG160" i="4"/>
  <c r="AK160" i="4" s="1"/>
  <c r="AF161" i="4" s="1"/>
  <c r="AL37" i="4"/>
  <c r="AK38" i="4"/>
  <c r="AF39" i="4" s="1"/>
  <c r="AI38" i="4"/>
  <c r="AH38" i="4"/>
  <c r="AJ38" i="4" s="1"/>
  <c r="AG38" i="4"/>
  <c r="X37" i="4"/>
  <c r="Z37" i="4"/>
  <c r="B26" i="7"/>
  <c r="C25" i="7" s="1"/>
  <c r="AC36" i="4"/>
  <c r="Y37" i="4"/>
  <c r="B28" i="5"/>
  <c r="C26" i="5"/>
  <c r="AA14" i="4"/>
  <c r="AA98" i="4"/>
  <c r="AB98" i="4" s="1"/>
  <c r="W99" i="4" s="1"/>
  <c r="E42" i="4"/>
  <c r="C42" i="4"/>
  <c r="D42" i="4"/>
  <c r="H41" i="4"/>
  <c r="S42" i="4"/>
  <c r="N43" i="4" s="1"/>
  <c r="Q43" i="4" s="1"/>
  <c r="AB14" i="4"/>
  <c r="W15" i="4" s="1"/>
  <c r="Z15" i="4" s="1"/>
  <c r="G15" i="3"/>
  <c r="B16" i="3" s="1"/>
  <c r="C16" i="3"/>
  <c r="H15" i="3"/>
  <c r="D16" i="3"/>
  <c r="E16" i="3"/>
  <c r="H22" i="2"/>
  <c r="G23" i="2"/>
  <c r="AG620" i="4" l="1"/>
  <c r="AH620" i="4"/>
  <c r="AI620" i="4"/>
  <c r="AL619" i="4"/>
  <c r="AL424" i="4"/>
  <c r="AK425" i="4"/>
  <c r="AF426" i="4" s="1"/>
  <c r="AI425" i="4"/>
  <c r="AH425" i="4"/>
  <c r="AJ425" i="4" s="1"/>
  <c r="AG425" i="4"/>
  <c r="AL160" i="4"/>
  <c r="AI161" i="4"/>
  <c r="AH161" i="4"/>
  <c r="AJ161" i="4" s="1"/>
  <c r="AK161" i="4" s="1"/>
  <c r="AF162" i="4" s="1"/>
  <c r="AG161" i="4"/>
  <c r="AL38" i="4"/>
  <c r="AI39" i="4"/>
  <c r="AH39" i="4"/>
  <c r="AG39" i="4"/>
  <c r="B27" i="7"/>
  <c r="C26" i="7" s="1"/>
  <c r="AA37" i="4"/>
  <c r="AB37" i="4" s="1"/>
  <c r="W38" i="4" s="1"/>
  <c r="Z38" i="4" s="1"/>
  <c r="C27" i="5"/>
  <c r="B29" i="5"/>
  <c r="C28" i="5" s="1"/>
  <c r="Z99" i="4"/>
  <c r="X99" i="4"/>
  <c r="AC98" i="4"/>
  <c r="Y99" i="4"/>
  <c r="Y15" i="4"/>
  <c r="AA15" i="4" s="1"/>
  <c r="AC14" i="4"/>
  <c r="O43" i="4"/>
  <c r="P43" i="4"/>
  <c r="R43" i="4" s="1"/>
  <c r="X15" i="4"/>
  <c r="F42" i="4"/>
  <c r="G42" i="4" s="1"/>
  <c r="B43" i="4" s="1"/>
  <c r="T42" i="4"/>
  <c r="AC15" i="4"/>
  <c r="F16" i="3"/>
  <c r="G16" i="3" s="1"/>
  <c r="B17" i="3" s="1"/>
  <c r="G24" i="2"/>
  <c r="H23" i="2"/>
  <c r="AJ620" i="4" l="1"/>
  <c r="AK620" i="4" s="1"/>
  <c r="AF621" i="4" s="1"/>
  <c r="AL425" i="4"/>
  <c r="AI426" i="4"/>
  <c r="AH426" i="4"/>
  <c r="AJ426" i="4" s="1"/>
  <c r="AG426" i="4"/>
  <c r="AK426" i="4" s="1"/>
  <c r="AF427" i="4" s="1"/>
  <c r="AL161" i="4"/>
  <c r="AI162" i="4"/>
  <c r="AH162" i="4"/>
  <c r="AJ162" i="4" s="1"/>
  <c r="AG162" i="4"/>
  <c r="AK162" i="4" s="1"/>
  <c r="AF163" i="4" s="1"/>
  <c r="AJ39" i="4"/>
  <c r="AK39" i="4" s="1"/>
  <c r="AF40" i="4" s="1"/>
  <c r="B28" i="7"/>
  <c r="C27" i="7" s="1"/>
  <c r="AC37" i="4"/>
  <c r="X38" i="4"/>
  <c r="Y38" i="4"/>
  <c r="AA99" i="4"/>
  <c r="AB99" i="4" s="1"/>
  <c r="W100" i="4" s="1"/>
  <c r="B30" i="5"/>
  <c r="AB15" i="4"/>
  <c r="S43" i="4"/>
  <c r="N44" i="4" s="1"/>
  <c r="Q44" i="4" s="1"/>
  <c r="C43" i="4"/>
  <c r="E43" i="4"/>
  <c r="D43" i="4"/>
  <c r="H42" i="4"/>
  <c r="C17" i="3"/>
  <c r="H16" i="3"/>
  <c r="E17" i="3"/>
  <c r="D17" i="3"/>
  <c r="H24" i="2"/>
  <c r="G25" i="2"/>
  <c r="AG621" i="4" l="1"/>
  <c r="AH621" i="4"/>
  <c r="AI621" i="4"/>
  <c r="AL620" i="4"/>
  <c r="AL426" i="4"/>
  <c r="AI427" i="4"/>
  <c r="AH427" i="4"/>
  <c r="AJ427" i="4" s="1"/>
  <c r="AG427" i="4"/>
  <c r="AK427" i="4" s="1"/>
  <c r="AF428" i="4" s="1"/>
  <c r="AL162" i="4"/>
  <c r="AI163" i="4"/>
  <c r="AH163" i="4"/>
  <c r="AJ163" i="4" s="1"/>
  <c r="AG163" i="4"/>
  <c r="AK163" i="4" s="1"/>
  <c r="AF164" i="4" s="1"/>
  <c r="AH40" i="4"/>
  <c r="AL39" i="4"/>
  <c r="AG40" i="4"/>
  <c r="AI40" i="4"/>
  <c r="B29" i="7"/>
  <c r="C28" i="7" s="1"/>
  <c r="AA38" i="4"/>
  <c r="AB38" i="4" s="1"/>
  <c r="W39" i="4" s="1"/>
  <c r="Z39" i="4" s="1"/>
  <c r="AC99" i="4"/>
  <c r="Z100" i="4"/>
  <c r="B31" i="5"/>
  <c r="C29" i="5"/>
  <c r="X100" i="4"/>
  <c r="Y100" i="4"/>
  <c r="O44" i="4"/>
  <c r="P44" i="4"/>
  <c r="R44" i="4" s="1"/>
  <c r="T43" i="4"/>
  <c r="F43" i="4"/>
  <c r="G43" i="4" s="1"/>
  <c r="B44" i="4" s="1"/>
  <c r="E44" i="4" s="1"/>
  <c r="F17" i="3"/>
  <c r="G17" i="3" s="1"/>
  <c r="B18" i="3" s="1"/>
  <c r="E18" i="3" s="1"/>
  <c r="H25" i="2"/>
  <c r="G26" i="2"/>
  <c r="AJ621" i="4" l="1"/>
  <c r="AK621" i="4" s="1"/>
  <c r="AF622" i="4" s="1"/>
  <c r="AL427" i="4"/>
  <c r="AI428" i="4"/>
  <c r="AH428" i="4"/>
  <c r="AJ428" i="4" s="1"/>
  <c r="AG428" i="4"/>
  <c r="AK428" i="4" s="1"/>
  <c r="AF429" i="4" s="1"/>
  <c r="AL163" i="4"/>
  <c r="AI164" i="4"/>
  <c r="AH164" i="4"/>
  <c r="AJ164" i="4" s="1"/>
  <c r="AG164" i="4"/>
  <c r="AK164" i="4" s="1"/>
  <c r="AF165" i="4" s="1"/>
  <c r="AJ40" i="4"/>
  <c r="AK40" i="4" s="1"/>
  <c r="AF41" i="4" s="1"/>
  <c r="B30" i="7"/>
  <c r="C29" i="7" s="1"/>
  <c r="X39" i="4"/>
  <c r="AC38" i="4"/>
  <c r="Y39" i="4"/>
  <c r="AA100" i="4"/>
  <c r="AB100" i="4" s="1"/>
  <c r="W101" i="4" s="1"/>
  <c r="C30" i="5"/>
  <c r="B32" i="5"/>
  <c r="C31" i="5" s="1"/>
  <c r="H43" i="4"/>
  <c r="D44" i="4"/>
  <c r="F44" i="4" s="1"/>
  <c r="C44" i="4"/>
  <c r="S44" i="4"/>
  <c r="N45" i="4" s="1"/>
  <c r="C18" i="3"/>
  <c r="H17" i="3"/>
  <c r="D18" i="3"/>
  <c r="F18" i="3" s="1"/>
  <c r="H26" i="2"/>
  <c r="G27" i="2"/>
  <c r="H27" i="2" s="1"/>
  <c r="AG622" i="4" l="1"/>
  <c r="AH622" i="4"/>
  <c r="AI622" i="4"/>
  <c r="AL621" i="4"/>
  <c r="AL428" i="4"/>
  <c r="AI429" i="4"/>
  <c r="AH429" i="4"/>
  <c r="AJ429" i="4" s="1"/>
  <c r="AG429" i="4"/>
  <c r="AK429" i="4" s="1"/>
  <c r="AF430" i="4" s="1"/>
  <c r="AL164" i="4"/>
  <c r="AI165" i="4"/>
  <c r="AH165" i="4"/>
  <c r="AJ165" i="4" s="1"/>
  <c r="AG165" i="4"/>
  <c r="AK165" i="4" s="1"/>
  <c r="AF166" i="4" s="1"/>
  <c r="AH41" i="4"/>
  <c r="AL40" i="4"/>
  <c r="AG41" i="4"/>
  <c r="AI41" i="4"/>
  <c r="B31" i="7"/>
  <c r="C30" i="7" s="1"/>
  <c r="AA39" i="4"/>
  <c r="AB39" i="4" s="1"/>
  <c r="W40" i="4" s="1"/>
  <c r="Z40" i="4" s="1"/>
  <c r="B33" i="5"/>
  <c r="C32" i="5" s="1"/>
  <c r="Y101" i="4"/>
  <c r="Z101" i="4"/>
  <c r="AC100" i="4"/>
  <c r="X101" i="4"/>
  <c r="G44" i="4"/>
  <c r="B45" i="4" s="1"/>
  <c r="D45" i="4" s="1"/>
  <c r="P45" i="4"/>
  <c r="Q45" i="4"/>
  <c r="T44" i="4"/>
  <c r="O45" i="4"/>
  <c r="G18" i="3"/>
  <c r="B19" i="3" s="1"/>
  <c r="C19" i="3" s="1"/>
  <c r="AJ622" i="4" l="1"/>
  <c r="AK622" i="4" s="1"/>
  <c r="AF623" i="4" s="1"/>
  <c r="AL429" i="4"/>
  <c r="AI430" i="4"/>
  <c r="AH430" i="4"/>
  <c r="AJ430" i="4" s="1"/>
  <c r="AG430" i="4"/>
  <c r="AK430" i="4" s="1"/>
  <c r="AF431" i="4" s="1"/>
  <c r="AL165" i="4"/>
  <c r="AI166" i="4"/>
  <c r="AH166" i="4"/>
  <c r="AJ166" i="4" s="1"/>
  <c r="AG166" i="4"/>
  <c r="AK166" i="4" s="1"/>
  <c r="AF167" i="4" s="1"/>
  <c r="AJ41" i="4"/>
  <c r="AK41" i="4" s="1"/>
  <c r="AF42" i="4" s="1"/>
  <c r="B32" i="7"/>
  <c r="C31" i="7" s="1"/>
  <c r="X40" i="4"/>
  <c r="AC39" i="4"/>
  <c r="Y40" i="4"/>
  <c r="B34" i="5"/>
  <c r="C33" i="5" s="1"/>
  <c r="H44" i="4"/>
  <c r="E45" i="4"/>
  <c r="F45" i="4" s="1"/>
  <c r="AA101" i="4"/>
  <c r="AB101" i="4" s="1"/>
  <c r="W102" i="4" s="1"/>
  <c r="Z102" i="4" s="1"/>
  <c r="C45" i="4"/>
  <c r="R45" i="4"/>
  <c r="S45" i="4" s="1"/>
  <c r="N46" i="4" s="1"/>
  <c r="E19" i="3"/>
  <c r="D19" i="3"/>
  <c r="H18" i="3"/>
  <c r="AG623" i="4" l="1"/>
  <c r="AH623" i="4"/>
  <c r="AI623" i="4"/>
  <c r="AL622" i="4"/>
  <c r="AL430" i="4"/>
  <c r="AI431" i="4"/>
  <c r="AH431" i="4"/>
  <c r="AG431" i="4"/>
  <c r="AL166" i="4"/>
  <c r="AI167" i="4"/>
  <c r="AH167" i="4"/>
  <c r="AJ167" i="4" s="1"/>
  <c r="AG167" i="4"/>
  <c r="AK167" i="4" s="1"/>
  <c r="AF168" i="4" s="1"/>
  <c r="AL41" i="4"/>
  <c r="AG42" i="4"/>
  <c r="AH42" i="4"/>
  <c r="AI42" i="4"/>
  <c r="B33" i="7"/>
  <c r="C32" i="7" s="1"/>
  <c r="AA40" i="4"/>
  <c r="AB40" i="4" s="1"/>
  <c r="W41" i="4" s="1"/>
  <c r="Z41" i="4" s="1"/>
  <c r="AC101" i="4"/>
  <c r="X102" i="4"/>
  <c r="B35" i="5"/>
  <c r="C34" i="5" s="1"/>
  <c r="G45" i="4"/>
  <c r="B46" i="4" s="1"/>
  <c r="Y102" i="4"/>
  <c r="AA102" i="4" s="1"/>
  <c r="P46" i="4"/>
  <c r="Q46" i="4"/>
  <c r="O46" i="4"/>
  <c r="T45" i="4"/>
  <c r="F19" i="3"/>
  <c r="G19" i="3" s="1"/>
  <c r="B20" i="3" s="1"/>
  <c r="E20" i="3" s="1"/>
  <c r="AJ623" i="4" l="1"/>
  <c r="AK623" i="4" s="1"/>
  <c r="AF624" i="4" s="1"/>
  <c r="AJ431" i="4"/>
  <c r="AK431" i="4" s="1"/>
  <c r="AF432" i="4" s="1"/>
  <c r="AL167" i="4"/>
  <c r="AI168" i="4"/>
  <c r="AH168" i="4"/>
  <c r="AJ168" i="4" s="1"/>
  <c r="AG168" i="4"/>
  <c r="AK168" i="4" s="1"/>
  <c r="AF169" i="4" s="1"/>
  <c r="AJ42" i="4"/>
  <c r="AK42" i="4" s="1"/>
  <c r="AF43" i="4" s="1"/>
  <c r="B34" i="7"/>
  <c r="C33" i="7" s="1"/>
  <c r="Y41" i="4"/>
  <c r="X41" i="4"/>
  <c r="AC40" i="4"/>
  <c r="AB102" i="4"/>
  <c r="W103" i="4" s="1"/>
  <c r="E46" i="4"/>
  <c r="H45" i="4"/>
  <c r="C46" i="4"/>
  <c r="D46" i="4"/>
  <c r="B36" i="5"/>
  <c r="C35" i="5" s="1"/>
  <c r="R46" i="4"/>
  <c r="S46" i="4" s="1"/>
  <c r="N47" i="4" s="1"/>
  <c r="Q47" i="4" s="1"/>
  <c r="H19" i="3"/>
  <c r="C20" i="3"/>
  <c r="D20" i="3"/>
  <c r="F20" i="3" s="1"/>
  <c r="AG624" i="4" l="1"/>
  <c r="AH624" i="4"/>
  <c r="AI624" i="4"/>
  <c r="AL623" i="4"/>
  <c r="AG432" i="4"/>
  <c r="AH432" i="4"/>
  <c r="AI432" i="4"/>
  <c r="AL431" i="4"/>
  <c r="AL168" i="4"/>
  <c r="AI169" i="4"/>
  <c r="AH169" i="4"/>
  <c r="AG169" i="4"/>
  <c r="AG43" i="4"/>
  <c r="AI43" i="4"/>
  <c r="AL42" i="4"/>
  <c r="AH43" i="4"/>
  <c r="AJ43" i="4" s="1"/>
  <c r="AK43" i="4" s="1"/>
  <c r="AF44" i="4" s="1"/>
  <c r="AA41" i="4"/>
  <c r="AB41" i="4" s="1"/>
  <c r="W42" i="4" s="1"/>
  <c r="Z42" i="4" s="1"/>
  <c r="B35" i="7"/>
  <c r="Z103" i="4"/>
  <c r="AC102" i="4"/>
  <c r="X103" i="4"/>
  <c r="Y103" i="4"/>
  <c r="AA103" i="4" s="1"/>
  <c r="AB103" i="4" s="1"/>
  <c r="W104" i="4" s="1"/>
  <c r="F46" i="4"/>
  <c r="G46" i="4"/>
  <c r="B47" i="4" s="1"/>
  <c r="B37" i="5"/>
  <c r="C36" i="5" s="1"/>
  <c r="O47" i="4"/>
  <c r="P47" i="4"/>
  <c r="R47" i="4" s="1"/>
  <c r="T46" i="4"/>
  <c r="G20" i="3"/>
  <c r="B21" i="3" s="1"/>
  <c r="C21" i="3" s="1"/>
  <c r="AJ624" i="4" l="1"/>
  <c r="AK624" i="4" s="1"/>
  <c r="AF625" i="4" s="1"/>
  <c r="AJ432" i="4"/>
  <c r="AK432" i="4" s="1"/>
  <c r="AF433" i="4" s="1"/>
  <c r="AJ169" i="4"/>
  <c r="AK169" i="4" s="1"/>
  <c r="AF170" i="4" s="1"/>
  <c r="AH44" i="4"/>
  <c r="AL43" i="4"/>
  <c r="AI44" i="4"/>
  <c r="AG44" i="4"/>
  <c r="AC41" i="4"/>
  <c r="X42" i="4"/>
  <c r="Y42" i="4"/>
  <c r="AA42" i="4" s="1"/>
  <c r="C34" i="7"/>
  <c r="B36" i="7"/>
  <c r="B37" i="7" s="1"/>
  <c r="C47" i="4"/>
  <c r="H46" i="4"/>
  <c r="E47" i="4"/>
  <c r="D47" i="4"/>
  <c r="B38" i="5"/>
  <c r="Z104" i="4"/>
  <c r="X104" i="4"/>
  <c r="Y104" i="4"/>
  <c r="AA104" i="4" s="1"/>
  <c r="AB104" i="4" s="1"/>
  <c r="W105" i="4" s="1"/>
  <c r="AC103" i="4"/>
  <c r="S47" i="4"/>
  <c r="N48" i="4" s="1"/>
  <c r="Q48" i="4" s="1"/>
  <c r="E21" i="3"/>
  <c r="H20" i="3"/>
  <c r="D21" i="3"/>
  <c r="F21" i="3" s="1"/>
  <c r="G21" i="3" s="1"/>
  <c r="B22" i="3" s="1"/>
  <c r="C22" i="3" s="1"/>
  <c r="AG625" i="4" l="1"/>
  <c r="AH625" i="4"/>
  <c r="AI625" i="4"/>
  <c r="AL624" i="4"/>
  <c r="AG433" i="4"/>
  <c r="AH433" i="4"/>
  <c r="AI433" i="4"/>
  <c r="AL432" i="4"/>
  <c r="AG170" i="4"/>
  <c r="AH170" i="4"/>
  <c r="AI170" i="4"/>
  <c r="AL169" i="4"/>
  <c r="AJ44" i="4"/>
  <c r="AK44" i="4" s="1"/>
  <c r="AF45" i="4" s="1"/>
  <c r="AB42" i="4"/>
  <c r="W43" i="4" s="1"/>
  <c r="Z43" i="4" s="1"/>
  <c r="B38" i="7"/>
  <c r="C36" i="7"/>
  <c r="C35" i="7"/>
  <c r="Y43" i="4"/>
  <c r="X43" i="4"/>
  <c r="AC42" i="4"/>
  <c r="F47" i="4"/>
  <c r="G47" i="4" s="1"/>
  <c r="B48" i="4" s="1"/>
  <c r="C38" i="5"/>
  <c r="B7" i="5" s="1" a="1"/>
  <c r="B7" i="5" s="1"/>
  <c r="C37" i="5"/>
  <c r="X105" i="4"/>
  <c r="Z105" i="4"/>
  <c r="AC104" i="4"/>
  <c r="Y105" i="4"/>
  <c r="AA105" i="4" s="1"/>
  <c r="O48" i="4"/>
  <c r="T47" i="4"/>
  <c r="P48" i="4"/>
  <c r="D22" i="3"/>
  <c r="E22" i="3"/>
  <c r="H21" i="3"/>
  <c r="AJ625" i="4" l="1"/>
  <c r="AK625" i="4" s="1"/>
  <c r="AF626" i="4" s="1"/>
  <c r="AJ433" i="4"/>
  <c r="AK433" i="4" s="1"/>
  <c r="AF434" i="4" s="1"/>
  <c r="AJ170" i="4"/>
  <c r="AK170" i="4" s="1"/>
  <c r="AF171" i="4" s="1"/>
  <c r="AH45" i="4"/>
  <c r="AL44" i="4"/>
  <c r="AG45" i="4"/>
  <c r="AI45" i="4"/>
  <c r="B39" i="7"/>
  <c r="C37" i="7"/>
  <c r="AA43" i="4"/>
  <c r="AB43" i="4" s="1"/>
  <c r="W44" i="4" s="1"/>
  <c r="D48" i="4"/>
  <c r="E48" i="4"/>
  <c r="H47" i="4"/>
  <c r="C48" i="4"/>
  <c r="AB105" i="4"/>
  <c r="W106" i="4" s="1"/>
  <c r="R48" i="4"/>
  <c r="S48" i="4" s="1"/>
  <c r="N49" i="4" s="1"/>
  <c r="F22" i="3"/>
  <c r="G22" i="3" s="1"/>
  <c r="B23" i="3" s="1"/>
  <c r="D23" i="3" s="1"/>
  <c r="AG626" i="4" l="1"/>
  <c r="AK626" i="4" s="1"/>
  <c r="AF627" i="4" s="1"/>
  <c r="AH626" i="4"/>
  <c r="AJ626" i="4" s="1"/>
  <c r="AI626" i="4"/>
  <c r="AL625" i="4"/>
  <c r="AG434" i="4"/>
  <c r="AH434" i="4"/>
  <c r="AI434" i="4"/>
  <c r="AL433" i="4"/>
  <c r="AG171" i="4"/>
  <c r="AK171" i="4" s="1"/>
  <c r="AF172" i="4" s="1"/>
  <c r="AH171" i="4"/>
  <c r="AJ171" i="4" s="1"/>
  <c r="AI171" i="4"/>
  <c r="AL170" i="4"/>
  <c r="AJ45" i="4"/>
  <c r="AK45" i="4" s="1"/>
  <c r="AF46" i="4" s="1"/>
  <c r="X44" i="4"/>
  <c r="AC43" i="4"/>
  <c r="Y44" i="4"/>
  <c r="AA44" i="4" s="1"/>
  <c r="AB44" i="4" s="1"/>
  <c r="W45" i="4" s="1"/>
  <c r="Z45" i="4" s="1"/>
  <c r="Z44" i="4"/>
  <c r="B40" i="7"/>
  <c r="C38" i="7"/>
  <c r="F48" i="4"/>
  <c r="G48" i="4" s="1"/>
  <c r="B49" i="4" s="1"/>
  <c r="X106" i="4"/>
  <c r="Y106" i="4"/>
  <c r="Z106" i="4"/>
  <c r="AC105" i="4"/>
  <c r="P49" i="4"/>
  <c r="O49" i="4"/>
  <c r="T48" i="4"/>
  <c r="Q49" i="4"/>
  <c r="C23" i="3"/>
  <c r="H22" i="3"/>
  <c r="E23" i="3"/>
  <c r="F23" i="3" s="1"/>
  <c r="AL626" i="4" l="1"/>
  <c r="AI627" i="4"/>
  <c r="AH627" i="4"/>
  <c r="AJ627" i="4" s="1"/>
  <c r="AG627" i="4"/>
  <c r="AK627" i="4" s="1"/>
  <c r="AF628" i="4" s="1"/>
  <c r="AJ434" i="4"/>
  <c r="AK434" i="4" s="1"/>
  <c r="AF435" i="4" s="1"/>
  <c r="AL171" i="4"/>
  <c r="AK172" i="4"/>
  <c r="AF173" i="4" s="1"/>
  <c r="AI172" i="4"/>
  <c r="AH172" i="4"/>
  <c r="AJ172" i="4" s="1"/>
  <c r="AG172" i="4"/>
  <c r="AG46" i="4"/>
  <c r="AH46" i="4"/>
  <c r="AJ46" i="4" s="1"/>
  <c r="AK46" i="4" s="1"/>
  <c r="AF47" i="4" s="1"/>
  <c r="AI46" i="4"/>
  <c r="AL45" i="4"/>
  <c r="J7" i="5" a="1"/>
  <c r="J7" i="5" s="1"/>
  <c r="B41" i="7"/>
  <c r="C39" i="7"/>
  <c r="Y45" i="4"/>
  <c r="AC44" i="4"/>
  <c r="X45" i="4"/>
  <c r="E49" i="4"/>
  <c r="D49" i="4"/>
  <c r="C49" i="4"/>
  <c r="H48" i="4"/>
  <c r="AA106" i="4"/>
  <c r="AB106" i="4" s="1"/>
  <c r="W107" i="4" s="1"/>
  <c r="R49" i="4"/>
  <c r="S49" i="4" s="1"/>
  <c r="N50" i="4" s="1"/>
  <c r="G23" i="3"/>
  <c r="B24" i="3" s="1"/>
  <c r="H23" i="3" s="1"/>
  <c r="AL627" i="4" l="1"/>
  <c r="AI628" i="4"/>
  <c r="AH628" i="4"/>
  <c r="AJ628" i="4" s="1"/>
  <c r="AG628" i="4"/>
  <c r="AK628" i="4" s="1"/>
  <c r="AF629" i="4" s="1"/>
  <c r="AG435" i="4"/>
  <c r="AH435" i="4"/>
  <c r="AI435" i="4"/>
  <c r="AL434" i="4"/>
  <c r="AL172" i="4"/>
  <c r="AI173" i="4"/>
  <c r="AH173" i="4"/>
  <c r="AJ173" i="4" s="1"/>
  <c r="AG173" i="4"/>
  <c r="AK173" i="4" s="1"/>
  <c r="AF174" i="4" s="1"/>
  <c r="AL46" i="4"/>
  <c r="AI47" i="4"/>
  <c r="AH47" i="4"/>
  <c r="AJ47" i="4" s="1"/>
  <c r="AG47" i="4"/>
  <c r="AK47" i="4" s="1"/>
  <c r="AF48" i="4" s="1"/>
  <c r="B42" i="7"/>
  <c r="C40" i="7"/>
  <c r="AA45" i="4"/>
  <c r="AB45" i="4"/>
  <c r="W46" i="4" s="1"/>
  <c r="Z46" i="4" s="1"/>
  <c r="F49" i="4"/>
  <c r="G49" i="4" s="1"/>
  <c r="B50" i="4" s="1"/>
  <c r="C50" i="4" s="1"/>
  <c r="H49" i="4"/>
  <c r="E50" i="4"/>
  <c r="D50" i="4"/>
  <c r="Z107" i="4"/>
  <c r="Y107" i="4"/>
  <c r="X107" i="4"/>
  <c r="AC106" i="4"/>
  <c r="Q50" i="4"/>
  <c r="T49" i="4"/>
  <c r="P50" i="4"/>
  <c r="O50" i="4"/>
  <c r="E24" i="3"/>
  <c r="C24" i="3"/>
  <c r="D24" i="3"/>
  <c r="AL628" i="4" l="1"/>
  <c r="AK629" i="4"/>
  <c r="AF630" i="4" s="1"/>
  <c r="AI629" i="4"/>
  <c r="AH629" i="4"/>
  <c r="AJ629" i="4" s="1"/>
  <c r="AG629" i="4"/>
  <c r="AJ435" i="4"/>
  <c r="AK435" i="4" s="1"/>
  <c r="AF436" i="4" s="1"/>
  <c r="AL173" i="4"/>
  <c r="AI174" i="4"/>
  <c r="AH174" i="4"/>
  <c r="AG174" i="4"/>
  <c r="AL47" i="4"/>
  <c r="AI48" i="4"/>
  <c r="AH48" i="4"/>
  <c r="AJ48" i="4" s="1"/>
  <c r="AG48" i="4"/>
  <c r="AK48" i="4" s="1"/>
  <c r="AF49" i="4" s="1"/>
  <c r="B43" i="7"/>
  <c r="C41" i="7"/>
  <c r="AC45" i="4"/>
  <c r="Y46" i="4"/>
  <c r="AA46" i="4" s="1"/>
  <c r="X46" i="4"/>
  <c r="F50" i="4"/>
  <c r="G50" i="4" s="1"/>
  <c r="B51" i="4" s="1"/>
  <c r="AA107" i="4"/>
  <c r="AB107" i="4" s="1"/>
  <c r="W108" i="4" s="1"/>
  <c r="R50" i="4"/>
  <c r="S50" i="4" s="1"/>
  <c r="N51" i="4" s="1"/>
  <c r="F24" i="3"/>
  <c r="G24" i="3" s="1"/>
  <c r="B25" i="3" s="1"/>
  <c r="AL629" i="4" l="1"/>
  <c r="AI630" i="4"/>
  <c r="AH630" i="4"/>
  <c r="AJ630" i="4" s="1"/>
  <c r="AG630" i="4"/>
  <c r="AK630" i="4" s="1"/>
  <c r="AF631" i="4" s="1"/>
  <c r="AG436" i="4"/>
  <c r="AK436" i="4" s="1"/>
  <c r="AF437" i="4" s="1"/>
  <c r="AH436" i="4"/>
  <c r="AJ436" i="4" s="1"/>
  <c r="AI436" i="4"/>
  <c r="AL435" i="4"/>
  <c r="AJ174" i="4"/>
  <c r="AK174" i="4" s="1"/>
  <c r="AF175" i="4" s="1"/>
  <c r="AL48" i="4"/>
  <c r="AI49" i="4"/>
  <c r="AH49" i="4"/>
  <c r="AG49" i="4"/>
  <c r="B44" i="7"/>
  <c r="C42" i="7"/>
  <c r="AB46" i="4"/>
  <c r="W47" i="4" s="1"/>
  <c r="Z47" i="4" s="1"/>
  <c r="Y47" i="4"/>
  <c r="P51" i="4"/>
  <c r="Q51" i="4"/>
  <c r="O51" i="4"/>
  <c r="R51" i="4"/>
  <c r="D51" i="4"/>
  <c r="F51" i="4" s="1"/>
  <c r="G51" i="4" s="1"/>
  <c r="B52" i="4" s="1"/>
  <c r="E51" i="4"/>
  <c r="C51" i="4"/>
  <c r="H50" i="4"/>
  <c r="Y108" i="4"/>
  <c r="Z108" i="4"/>
  <c r="AC107" i="4"/>
  <c r="X108" i="4"/>
  <c r="T50" i="4"/>
  <c r="D25" i="3"/>
  <c r="E25" i="3"/>
  <c r="H24" i="3"/>
  <c r="C25" i="3"/>
  <c r="AL630" i="4" l="1"/>
  <c r="AI631" i="4"/>
  <c r="AH631" i="4"/>
  <c r="AJ631" i="4" s="1"/>
  <c r="AG631" i="4"/>
  <c r="AK631" i="4" s="1"/>
  <c r="AF632" i="4" s="1"/>
  <c r="AL436" i="4"/>
  <c r="AI437" i="4"/>
  <c r="AH437" i="4"/>
  <c r="AJ437" i="4" s="1"/>
  <c r="AG437" i="4"/>
  <c r="AK437" i="4" s="1"/>
  <c r="AF438" i="4" s="1"/>
  <c r="AG175" i="4"/>
  <c r="AH175" i="4"/>
  <c r="AI175" i="4"/>
  <c r="AL174" i="4"/>
  <c r="AJ49" i="4"/>
  <c r="AK49" i="4" s="1"/>
  <c r="AF50" i="4" s="1"/>
  <c r="S51" i="4"/>
  <c r="N52" i="4" s="1"/>
  <c r="X47" i="4"/>
  <c r="AC46" i="4"/>
  <c r="B45" i="7"/>
  <c r="C43" i="7"/>
  <c r="AA47" i="4"/>
  <c r="D52" i="4"/>
  <c r="E52" i="4"/>
  <c r="F52" i="4" s="1"/>
  <c r="G52" i="4" s="1"/>
  <c r="B53" i="4" s="1"/>
  <c r="C52" i="4"/>
  <c r="H51" i="4"/>
  <c r="AA108" i="4"/>
  <c r="AB108" i="4" s="1"/>
  <c r="W109" i="4" s="1"/>
  <c r="F25" i="3"/>
  <c r="G25" i="3" s="1"/>
  <c r="B26" i="3" s="1"/>
  <c r="C26" i="3" s="1"/>
  <c r="H25" i="3"/>
  <c r="AL631" i="4" l="1"/>
  <c r="AI632" i="4"/>
  <c r="AH632" i="4"/>
  <c r="AJ632" i="4" s="1"/>
  <c r="AG632" i="4"/>
  <c r="AK632" i="4" s="1"/>
  <c r="AF633" i="4" s="1"/>
  <c r="AL437" i="4"/>
  <c r="AI438" i="4"/>
  <c r="AH438" i="4"/>
  <c r="AG438" i="4"/>
  <c r="AJ175" i="4"/>
  <c r="AK175" i="4" s="1"/>
  <c r="AF176" i="4" s="1"/>
  <c r="AG50" i="4"/>
  <c r="AH50" i="4"/>
  <c r="AI50" i="4"/>
  <c r="AL49" i="4"/>
  <c r="Q52" i="4"/>
  <c r="P52" i="4"/>
  <c r="R52" i="4" s="1"/>
  <c r="T51" i="4"/>
  <c r="O52" i="4"/>
  <c r="S52" i="4" s="1"/>
  <c r="N53" i="4" s="1"/>
  <c r="AB47" i="4"/>
  <c r="W48" i="4" s="1"/>
  <c r="Y48" i="4"/>
  <c r="C44" i="7"/>
  <c r="B46" i="7"/>
  <c r="X109" i="4"/>
  <c r="Z109" i="4"/>
  <c r="Y109" i="4"/>
  <c r="AA109" i="4" s="1"/>
  <c r="AB109" i="4" s="1"/>
  <c r="W110" i="4" s="1"/>
  <c r="W86" i="4"/>
  <c r="O15" i="4" s="1"/>
  <c r="AC108" i="4"/>
  <c r="H52" i="4"/>
  <c r="E53" i="4"/>
  <c r="D53" i="4"/>
  <c r="F53" i="4" s="1"/>
  <c r="C53" i="4"/>
  <c r="D26" i="3"/>
  <c r="E26" i="3"/>
  <c r="AL632" i="4" l="1"/>
  <c r="AI633" i="4"/>
  <c r="AH633" i="4"/>
  <c r="AJ633" i="4" s="1"/>
  <c r="AG633" i="4"/>
  <c r="AK633" i="4" s="1"/>
  <c r="AF634" i="4" s="1"/>
  <c r="AJ438" i="4"/>
  <c r="AK438" i="4" s="1"/>
  <c r="AF439" i="4" s="1"/>
  <c r="AG176" i="4"/>
  <c r="AH176" i="4"/>
  <c r="AI176" i="4"/>
  <c r="AL175" i="4"/>
  <c r="AJ50" i="4"/>
  <c r="AK50" i="4" s="1"/>
  <c r="AF51" i="4" s="1"/>
  <c r="AC47" i="4"/>
  <c r="Z48" i="4"/>
  <c r="X48" i="4"/>
  <c r="AA48" i="4"/>
  <c r="AB48" i="4" s="1"/>
  <c r="W49" i="4" s="1"/>
  <c r="Z49" i="4" s="1"/>
  <c r="C45" i="7"/>
  <c r="B47" i="7"/>
  <c r="Y110" i="4"/>
  <c r="AC110" i="4"/>
  <c r="Z110" i="4"/>
  <c r="AA110" i="4" s="1"/>
  <c r="AC109" i="4"/>
  <c r="X110" i="4"/>
  <c r="T52" i="4"/>
  <c r="P53" i="4"/>
  <c r="O53" i="4"/>
  <c r="Q53" i="4"/>
  <c r="G53" i="4"/>
  <c r="B54" i="4" s="1"/>
  <c r="F26" i="3"/>
  <c r="G26" i="3" s="1"/>
  <c r="B27" i="3" s="1"/>
  <c r="AL633" i="4" l="1"/>
  <c r="AI634" i="4"/>
  <c r="AH634" i="4"/>
  <c r="AJ634" i="4" s="1"/>
  <c r="AG634" i="4"/>
  <c r="AK634" i="4" s="1"/>
  <c r="AF635" i="4" s="1"/>
  <c r="AG439" i="4"/>
  <c r="AH439" i="4"/>
  <c r="AI439" i="4"/>
  <c r="AL438" i="4"/>
  <c r="AJ176" i="4"/>
  <c r="AK176" i="4" s="1"/>
  <c r="AF177" i="4" s="1"/>
  <c r="AG51" i="4"/>
  <c r="AH51" i="4"/>
  <c r="AI51" i="4"/>
  <c r="AL50" i="4"/>
  <c r="X49" i="4"/>
  <c r="AC48" i="4"/>
  <c r="Y49" i="4"/>
  <c r="C46" i="7"/>
  <c r="B48" i="7"/>
  <c r="R53" i="4"/>
  <c r="S53" i="4" s="1"/>
  <c r="N54" i="4" s="1"/>
  <c r="AB110" i="4"/>
  <c r="C54" i="4"/>
  <c r="E54" i="4"/>
  <c r="D54" i="4"/>
  <c r="F54" i="4" s="1"/>
  <c r="H53" i="4"/>
  <c r="E27" i="3"/>
  <c r="D27" i="3"/>
  <c r="F27" i="3" s="1"/>
  <c r="H26" i="3"/>
  <c r="C27" i="3"/>
  <c r="AL634" i="4" l="1"/>
  <c r="AI635" i="4"/>
  <c r="AH635" i="4"/>
  <c r="AJ635" i="4" s="1"/>
  <c r="AG635" i="4"/>
  <c r="AK635" i="4" s="1"/>
  <c r="AF636" i="4" s="1"/>
  <c r="AJ439" i="4"/>
  <c r="AK439" i="4" s="1"/>
  <c r="AF440" i="4" s="1"/>
  <c r="AG177" i="4"/>
  <c r="AH177" i="4"/>
  <c r="AI177" i="4"/>
  <c r="AL176" i="4"/>
  <c r="AJ51" i="4"/>
  <c r="AK51" i="4" s="1"/>
  <c r="AF52" i="4" s="1"/>
  <c r="AA49" i="4"/>
  <c r="AB49" i="4" s="1"/>
  <c r="W50" i="4" s="1"/>
  <c r="B49" i="7"/>
  <c r="C47" i="7"/>
  <c r="C48" i="7"/>
  <c r="B50" i="7"/>
  <c r="C49" i="7" s="1"/>
  <c r="O54" i="4"/>
  <c r="Q54" i="4"/>
  <c r="P54" i="4"/>
  <c r="R54" i="4" s="1"/>
  <c r="T53" i="4"/>
  <c r="G54" i="4"/>
  <c r="B55" i="4" s="1"/>
  <c r="G27" i="3"/>
  <c r="B28" i="3" s="1"/>
  <c r="C28" i="3" s="1"/>
  <c r="AL635" i="4" l="1"/>
  <c r="AI636" i="4"/>
  <c r="AH636" i="4"/>
  <c r="AG636" i="4"/>
  <c r="AG440" i="4"/>
  <c r="AH440" i="4"/>
  <c r="AI440" i="4"/>
  <c r="AL439" i="4"/>
  <c r="AJ177" i="4"/>
  <c r="AK177" i="4" s="1"/>
  <c r="AF178" i="4" s="1"/>
  <c r="AG52" i="4"/>
  <c r="AH52" i="4"/>
  <c r="AJ52" i="4" s="1"/>
  <c r="AK52" i="4" s="1"/>
  <c r="AF53" i="4" s="1"/>
  <c r="AI52" i="4"/>
  <c r="AL51" i="4"/>
  <c r="Y50" i="4"/>
  <c r="Z50" i="4"/>
  <c r="X50" i="4"/>
  <c r="AC49" i="4"/>
  <c r="AA50" i="4"/>
  <c r="B51" i="7"/>
  <c r="C50" i="7" s="1"/>
  <c r="S54" i="4"/>
  <c r="N55" i="4" s="1"/>
  <c r="H54" i="4"/>
  <c r="H27" i="3"/>
  <c r="D28" i="3"/>
  <c r="F28" i="3" s="1"/>
  <c r="G28" i="3" s="1"/>
  <c r="B29" i="3" s="1"/>
  <c r="E28" i="3"/>
  <c r="AJ636" i="4" l="1"/>
  <c r="AK636" i="4" s="1"/>
  <c r="AF637" i="4" s="1"/>
  <c r="AJ440" i="4"/>
  <c r="AK440" i="4" s="1"/>
  <c r="AF441" i="4" s="1"/>
  <c r="AG178" i="4"/>
  <c r="AH178" i="4"/>
  <c r="AI178" i="4"/>
  <c r="AL177" i="4"/>
  <c r="AL52" i="4"/>
  <c r="AI53" i="4"/>
  <c r="AH53" i="4"/>
  <c r="AJ53" i="4" s="1"/>
  <c r="AG53" i="4"/>
  <c r="AK53" i="4" s="1"/>
  <c r="AF54" i="4" s="1"/>
  <c r="AB50" i="4"/>
  <c r="W51" i="4" s="1"/>
  <c r="X51" i="4"/>
  <c r="AC50" i="4"/>
  <c r="B52" i="7"/>
  <c r="C51" i="7" s="1"/>
  <c r="T54" i="4"/>
  <c r="Q55" i="4"/>
  <c r="P55" i="4"/>
  <c r="R55" i="4" s="1"/>
  <c r="S55" i="4" s="1"/>
  <c r="N56" i="4" s="1"/>
  <c r="O55" i="4"/>
  <c r="H28" i="3"/>
  <c r="C29" i="3"/>
  <c r="D29" i="3"/>
  <c r="E29" i="3"/>
  <c r="F29" i="3" s="1"/>
  <c r="G29" i="3" s="1"/>
  <c r="B30" i="3" s="1"/>
  <c r="AG637" i="4" l="1"/>
  <c r="AH637" i="4"/>
  <c r="AJ637" i="4" s="1"/>
  <c r="AK637" i="4" s="1"/>
  <c r="AF638" i="4" s="1"/>
  <c r="AI637" i="4"/>
  <c r="AL636" i="4"/>
  <c r="AG441" i="4"/>
  <c r="AH441" i="4"/>
  <c r="AI441" i="4"/>
  <c r="AL440" i="4"/>
  <c r="AJ178" i="4"/>
  <c r="AK178" i="4" s="1"/>
  <c r="AF179" i="4" s="1"/>
  <c r="AL53" i="4"/>
  <c r="AK54" i="4"/>
  <c r="AF55" i="4" s="1"/>
  <c r="AI54" i="4"/>
  <c r="AH54" i="4"/>
  <c r="AJ54" i="4" s="1"/>
  <c r="AG54" i="4"/>
  <c r="Y51" i="4"/>
  <c r="AA51" i="4" s="1"/>
  <c r="AB51" i="4" s="1"/>
  <c r="W52" i="4" s="1"/>
  <c r="Z52" i="4" s="1"/>
  <c r="Z51" i="4"/>
  <c r="O56" i="4"/>
  <c r="T55" i="4"/>
  <c r="P56" i="4"/>
  <c r="Q56" i="4"/>
  <c r="B53" i="7"/>
  <c r="C30" i="3"/>
  <c r="E30" i="3"/>
  <c r="H29" i="3"/>
  <c r="D30" i="3"/>
  <c r="F30" i="3" s="1"/>
  <c r="G30" i="3" s="1"/>
  <c r="B31" i="3" s="1"/>
  <c r="C31" i="3" s="1"/>
  <c r="AL637" i="4" l="1"/>
  <c r="AI638" i="4"/>
  <c r="AH638" i="4"/>
  <c r="AJ638" i="4" s="1"/>
  <c r="AG638" i="4"/>
  <c r="AK638" i="4" s="1"/>
  <c r="AF639" i="4" s="1"/>
  <c r="AJ441" i="4"/>
  <c r="AK441" i="4" s="1"/>
  <c r="AF442" i="4" s="1"/>
  <c r="AG179" i="4"/>
  <c r="AH179" i="4"/>
  <c r="AI179" i="4"/>
  <c r="AL178" i="4"/>
  <c r="AL54" i="4"/>
  <c r="AI55" i="4"/>
  <c r="AH55" i="4"/>
  <c r="AJ55" i="4" s="1"/>
  <c r="AG55" i="4"/>
  <c r="AK55" i="4" s="1"/>
  <c r="AF56" i="4" s="1"/>
  <c r="R56" i="4"/>
  <c r="S56" i="4" s="1"/>
  <c r="N57" i="4" s="1"/>
  <c r="X52" i="4"/>
  <c r="AC51" i="4"/>
  <c r="Y52" i="4"/>
  <c r="AA52" i="4" s="1"/>
  <c r="AB52" i="4" s="1"/>
  <c r="W53" i="4" s="1"/>
  <c r="Z53" i="4" s="1"/>
  <c r="B54" i="7"/>
  <c r="C52" i="7"/>
  <c r="D31" i="3"/>
  <c r="E31" i="3"/>
  <c r="H30" i="3"/>
  <c r="F31" i="3"/>
  <c r="G31" i="3" s="1"/>
  <c r="B32" i="3" s="1"/>
  <c r="E32" i="3" s="1"/>
  <c r="AL638" i="4" l="1"/>
  <c r="AI639" i="4"/>
  <c r="AH639" i="4"/>
  <c r="AJ639" i="4" s="1"/>
  <c r="AG639" i="4"/>
  <c r="AK639" i="4" s="1"/>
  <c r="AF640" i="4" s="1"/>
  <c r="AG442" i="4"/>
  <c r="AH442" i="4"/>
  <c r="AJ442" i="4" s="1"/>
  <c r="AI442" i="4"/>
  <c r="AK442" i="4"/>
  <c r="AF443" i="4" s="1"/>
  <c r="AL441" i="4"/>
  <c r="AJ179" i="4"/>
  <c r="AK179" i="4" s="1"/>
  <c r="AF180" i="4" s="1"/>
  <c r="AL55" i="4"/>
  <c r="AI56" i="4"/>
  <c r="AH56" i="4"/>
  <c r="AJ56" i="4" s="1"/>
  <c r="AG56" i="4"/>
  <c r="AK56" i="4" s="1"/>
  <c r="AF57" i="4" s="1"/>
  <c r="Q57" i="4"/>
  <c r="P57" i="4"/>
  <c r="R57" i="4" s="1"/>
  <c r="O57" i="4"/>
  <c r="T56" i="4"/>
  <c r="C53" i="7"/>
  <c r="B55" i="7"/>
  <c r="Y53" i="4"/>
  <c r="AC52" i="4"/>
  <c r="X53" i="4"/>
  <c r="S57" i="4"/>
  <c r="N58" i="4" s="1"/>
  <c r="O58" i="4" s="1"/>
  <c r="D32" i="3"/>
  <c r="F32" i="3" s="1"/>
  <c r="H31" i="3"/>
  <c r="C32" i="3"/>
  <c r="G32" i="3" s="1"/>
  <c r="B33" i="3" s="1"/>
  <c r="C33" i="3" s="1"/>
  <c r="AL639" i="4" l="1"/>
  <c r="AH640" i="4"/>
  <c r="AI640" i="4"/>
  <c r="AG640" i="4"/>
  <c r="AL442" i="4"/>
  <c r="AI443" i="4"/>
  <c r="AH443" i="4"/>
  <c r="AJ443" i="4" s="1"/>
  <c r="AG443" i="4"/>
  <c r="AK443" i="4" s="1"/>
  <c r="AF444" i="4" s="1"/>
  <c r="AG180" i="4"/>
  <c r="AH180" i="4"/>
  <c r="AI180" i="4"/>
  <c r="AL179" i="4"/>
  <c r="AG57" i="4"/>
  <c r="AL56" i="4"/>
  <c r="AH57" i="4"/>
  <c r="AI57" i="4"/>
  <c r="B56" i="7"/>
  <c r="C54" i="7"/>
  <c r="AA53" i="4"/>
  <c r="AB53" i="4" s="1"/>
  <c r="W54" i="4" s="1"/>
  <c r="Z54" i="4" s="1"/>
  <c r="T57" i="4"/>
  <c r="P58" i="4"/>
  <c r="Q58" i="4"/>
  <c r="E33" i="3"/>
  <c r="H32" i="3"/>
  <c r="D33" i="3"/>
  <c r="AJ640" i="4" l="1"/>
  <c r="AK640" i="4" s="1"/>
  <c r="AF641" i="4" s="1"/>
  <c r="AL443" i="4"/>
  <c r="AK444" i="4"/>
  <c r="AF445" i="4" s="1"/>
  <c r="AI444" i="4"/>
  <c r="AH444" i="4"/>
  <c r="AJ444" i="4" s="1"/>
  <c r="AG444" i="4"/>
  <c r="AJ180" i="4"/>
  <c r="AK180" i="4" s="1"/>
  <c r="AF181" i="4" s="1"/>
  <c r="AJ57" i="4"/>
  <c r="AK57" i="4" s="1"/>
  <c r="AF58" i="4" s="1"/>
  <c r="B57" i="7"/>
  <c r="C55" i="7"/>
  <c r="X54" i="4"/>
  <c r="AC53" i="4"/>
  <c r="Y54" i="4"/>
  <c r="R58" i="4"/>
  <c r="S58" i="4" s="1"/>
  <c r="N59" i="4" s="1"/>
  <c r="F33" i="3"/>
  <c r="G33" i="3" s="1"/>
  <c r="B34" i="3" s="1"/>
  <c r="H33" i="3" s="1"/>
  <c r="AG641" i="4" l="1"/>
  <c r="AI641" i="4"/>
  <c r="AL640" i="4"/>
  <c r="AH641" i="4"/>
  <c r="AJ641" i="4" s="1"/>
  <c r="AK641" i="4" s="1"/>
  <c r="AF642" i="4" s="1"/>
  <c r="AL444" i="4"/>
  <c r="AK445" i="4"/>
  <c r="AF446" i="4" s="1"/>
  <c r="AI445" i="4"/>
  <c r="AH445" i="4"/>
  <c r="AJ445" i="4" s="1"/>
  <c r="AG445" i="4"/>
  <c r="AG181" i="4"/>
  <c r="AH181" i="4"/>
  <c r="AI181" i="4"/>
  <c r="AL180" i="4"/>
  <c r="AG58" i="4"/>
  <c r="AI58" i="4"/>
  <c r="AL57" i="4"/>
  <c r="AH58" i="4"/>
  <c r="B58" i="7"/>
  <c r="C56" i="7"/>
  <c r="AA54" i="4"/>
  <c r="AB54" i="4" s="1"/>
  <c r="W55" i="4" s="1"/>
  <c r="Z55" i="4" s="1"/>
  <c r="Q59" i="4"/>
  <c r="P59" i="4"/>
  <c r="T58" i="4"/>
  <c r="O59" i="4"/>
  <c r="C34" i="3"/>
  <c r="D34" i="3"/>
  <c r="E34" i="3"/>
  <c r="AG642" i="4" l="1"/>
  <c r="AL641" i="4"/>
  <c r="AK642" i="4"/>
  <c r="AF643" i="4" s="1"/>
  <c r="AI642" i="4"/>
  <c r="AH642" i="4"/>
  <c r="AJ642" i="4" s="1"/>
  <c r="AL445" i="4"/>
  <c r="AI446" i="4"/>
  <c r="AH446" i="4"/>
  <c r="AJ446" i="4" s="1"/>
  <c r="AG446" i="4"/>
  <c r="AK446" i="4" s="1"/>
  <c r="AF447" i="4" s="1"/>
  <c r="AJ181" i="4"/>
  <c r="AK181" i="4" s="1"/>
  <c r="AF182" i="4" s="1"/>
  <c r="AJ58" i="4"/>
  <c r="AK58" i="4" s="1"/>
  <c r="AF59" i="4" s="1"/>
  <c r="C57" i="7"/>
  <c r="B59" i="7"/>
  <c r="X55" i="4"/>
  <c r="Y55" i="4"/>
  <c r="AC54" i="4"/>
  <c r="R59" i="4"/>
  <c r="S59" i="4" s="1"/>
  <c r="N60" i="4" s="1"/>
  <c r="F34" i="3"/>
  <c r="G34" i="3" s="1"/>
  <c r="B35" i="3" s="1"/>
  <c r="E35" i="3" s="1"/>
  <c r="D35" i="3"/>
  <c r="AH643" i="4" l="1"/>
  <c r="AL642" i="4"/>
  <c r="AI643" i="4"/>
  <c r="AG643" i="4"/>
  <c r="AL446" i="4"/>
  <c r="AI447" i="4"/>
  <c r="AH447" i="4"/>
  <c r="AJ447" i="4" s="1"/>
  <c r="AG447" i="4"/>
  <c r="AK447" i="4" s="1"/>
  <c r="AF448" i="4" s="1"/>
  <c r="AG182" i="4"/>
  <c r="AH182" i="4"/>
  <c r="AI182" i="4"/>
  <c r="AL181" i="4"/>
  <c r="AG59" i="4"/>
  <c r="AH59" i="4"/>
  <c r="AJ59" i="4" s="1"/>
  <c r="AK59" i="4" s="1"/>
  <c r="AF60" i="4" s="1"/>
  <c r="AI59" i="4"/>
  <c r="AL58" i="4"/>
  <c r="B60" i="7"/>
  <c r="C58" i="7"/>
  <c r="AA55" i="4"/>
  <c r="AB55" i="4" s="1"/>
  <c r="W56" i="4" s="1"/>
  <c r="Z56" i="4" s="1"/>
  <c r="T59" i="4"/>
  <c r="O60" i="4"/>
  <c r="Q60" i="4"/>
  <c r="P60" i="4"/>
  <c r="C35" i="3"/>
  <c r="H34" i="3"/>
  <c r="F35" i="3"/>
  <c r="AJ643" i="4" l="1"/>
  <c r="AK643" i="4" s="1"/>
  <c r="AF644" i="4" s="1"/>
  <c r="AL447" i="4"/>
  <c r="AI448" i="4"/>
  <c r="AH448" i="4"/>
  <c r="AJ448" i="4" s="1"/>
  <c r="AG448" i="4"/>
  <c r="AK448" i="4" s="1"/>
  <c r="AF449" i="4" s="1"/>
  <c r="AJ182" i="4"/>
  <c r="AK182" i="4" s="1"/>
  <c r="AF183" i="4" s="1"/>
  <c r="AL59" i="4"/>
  <c r="AH60" i="4"/>
  <c r="AI60" i="4"/>
  <c r="AG60" i="4"/>
  <c r="X56" i="4"/>
  <c r="Y56" i="4"/>
  <c r="AA56" i="4" s="1"/>
  <c r="AB56" i="4" s="1"/>
  <c r="W57" i="4" s="1"/>
  <c r="Z57" i="4" s="1"/>
  <c r="AC55" i="4"/>
  <c r="B61" i="7"/>
  <c r="B62" i="7" s="1"/>
  <c r="C59" i="7"/>
  <c r="C60" i="7"/>
  <c r="R60" i="4"/>
  <c r="S60" i="4" s="1"/>
  <c r="N61" i="4" s="1"/>
  <c r="G35" i="3"/>
  <c r="B36" i="3" s="1"/>
  <c r="E36" i="3" s="1"/>
  <c r="AH644" i="4" l="1"/>
  <c r="AL643" i="4"/>
  <c r="AG644" i="4"/>
  <c r="AI644" i="4"/>
  <c r="AL448" i="4"/>
  <c r="AI449" i="4"/>
  <c r="AH449" i="4"/>
  <c r="AJ449" i="4" s="1"/>
  <c r="AK449" i="4" s="1"/>
  <c r="AF450" i="4" s="1"/>
  <c r="AG449" i="4"/>
  <c r="AG183" i="4"/>
  <c r="AH183" i="4"/>
  <c r="AI183" i="4"/>
  <c r="AL182" i="4"/>
  <c r="AJ60" i="4"/>
  <c r="AK60" i="4" s="1"/>
  <c r="AF61" i="4" s="1"/>
  <c r="AC56" i="4"/>
  <c r="X57" i="4"/>
  <c r="Y57" i="4"/>
  <c r="C61" i="7"/>
  <c r="B63" i="7"/>
  <c r="Q61" i="4"/>
  <c r="O61" i="4"/>
  <c r="P61" i="4"/>
  <c r="T60" i="4"/>
  <c r="C36" i="3"/>
  <c r="H35" i="3"/>
  <c r="D36" i="3"/>
  <c r="F36" i="3" s="1"/>
  <c r="AJ644" i="4" l="1"/>
  <c r="AK644" i="4" s="1"/>
  <c r="AF645" i="4" s="1"/>
  <c r="AL449" i="4"/>
  <c r="AI450" i="4"/>
  <c r="AH450" i="4"/>
  <c r="AJ450" i="4" s="1"/>
  <c r="AG450" i="4"/>
  <c r="AK450" i="4" s="1"/>
  <c r="AF451" i="4" s="1"/>
  <c r="AJ183" i="4"/>
  <c r="AK183" i="4" s="1"/>
  <c r="AF184" i="4" s="1"/>
  <c r="AG61" i="4"/>
  <c r="AL60" i="4"/>
  <c r="AH61" i="4"/>
  <c r="AJ61" i="4" s="1"/>
  <c r="AK61" i="4" s="1"/>
  <c r="AF62" i="4" s="1"/>
  <c r="AI61" i="4"/>
  <c r="AA57" i="4"/>
  <c r="AB57" i="4" s="1"/>
  <c r="W58" i="4" s="1"/>
  <c r="Z58" i="4" s="1"/>
  <c r="B64" i="7"/>
  <c r="C62" i="7"/>
  <c r="R61" i="4"/>
  <c r="S61" i="4" s="1"/>
  <c r="N62" i="4" s="1"/>
  <c r="T61" i="4"/>
  <c r="G36" i="3"/>
  <c r="B37" i="3" s="1"/>
  <c r="E37" i="3" s="1"/>
  <c r="C37" i="3"/>
  <c r="D37" i="3"/>
  <c r="F37" i="3" s="1"/>
  <c r="H36" i="3"/>
  <c r="AH645" i="4" l="1"/>
  <c r="AG645" i="4"/>
  <c r="AI645" i="4"/>
  <c r="AL644" i="4"/>
  <c r="AL450" i="4"/>
  <c r="AI451" i="4"/>
  <c r="AH451" i="4"/>
  <c r="AG451" i="4"/>
  <c r="AH184" i="4"/>
  <c r="AJ184" i="4" s="1"/>
  <c r="AK184" i="4" s="1"/>
  <c r="AF185" i="4" s="1"/>
  <c r="AL183" i="4"/>
  <c r="AG184" i="4"/>
  <c r="AI184" i="4"/>
  <c r="AI62" i="4"/>
  <c r="AG62" i="4"/>
  <c r="AK62" i="4" s="1"/>
  <c r="AF63" i="4" s="1"/>
  <c r="AL61" i="4"/>
  <c r="AH62" i="4"/>
  <c r="AJ62" i="4" s="1"/>
  <c r="AC57" i="4"/>
  <c r="Y58" i="4"/>
  <c r="AA58" i="4" s="1"/>
  <c r="X58" i="4"/>
  <c r="B65" i="7"/>
  <c r="C64" i="7" s="1"/>
  <c r="C63" i="7"/>
  <c r="P62" i="4"/>
  <c r="Q62" i="4"/>
  <c r="O62" i="4"/>
  <c r="G37" i="3"/>
  <c r="B38" i="3" s="1"/>
  <c r="H37" i="3" s="1"/>
  <c r="C38" i="3"/>
  <c r="E38" i="3"/>
  <c r="D38" i="3"/>
  <c r="AJ645" i="4" l="1"/>
  <c r="AK645" i="4" s="1"/>
  <c r="AF646" i="4" s="1"/>
  <c r="AJ451" i="4"/>
  <c r="AK451" i="4" s="1"/>
  <c r="AF452" i="4" s="1"/>
  <c r="AI185" i="4"/>
  <c r="AG185" i="4"/>
  <c r="AK185" i="4" s="1"/>
  <c r="AF186" i="4" s="1"/>
  <c r="AL184" i="4"/>
  <c r="AH185" i="4"/>
  <c r="AJ185" i="4" s="1"/>
  <c r="AH63" i="4"/>
  <c r="AL62" i="4"/>
  <c r="AI63" i="4"/>
  <c r="AG63" i="4"/>
  <c r="AB58" i="4"/>
  <c r="W59" i="4" s="1"/>
  <c r="Z59" i="4" s="1"/>
  <c r="R62" i="4"/>
  <c r="S62" i="4" s="1"/>
  <c r="N63" i="4" s="1"/>
  <c r="B66" i="7"/>
  <c r="C65" i="7" s="1"/>
  <c r="P63" i="4"/>
  <c r="Q63" i="4"/>
  <c r="F38" i="3"/>
  <c r="G38" i="3" s="1"/>
  <c r="B39" i="3" s="1"/>
  <c r="AH646" i="4" l="1"/>
  <c r="AL645" i="4"/>
  <c r="AG646" i="4"/>
  <c r="AI646" i="4"/>
  <c r="AG452" i="4"/>
  <c r="AH452" i="4"/>
  <c r="AI452" i="4"/>
  <c r="AL451" i="4"/>
  <c r="AI186" i="4"/>
  <c r="AG186" i="4"/>
  <c r="AL185" i="4"/>
  <c r="AH186" i="4"/>
  <c r="AJ186" i="4" s="1"/>
  <c r="AK186" i="4" s="1"/>
  <c r="AF187" i="4" s="1"/>
  <c r="AJ63" i="4"/>
  <c r="AK63" i="4" s="1"/>
  <c r="AF64" i="4" s="1"/>
  <c r="Y59" i="4"/>
  <c r="AA59" i="4"/>
  <c r="X59" i="4"/>
  <c r="AB59" i="4" s="1"/>
  <c r="W60" i="4" s="1"/>
  <c r="AC58" i="4"/>
  <c r="O63" i="4"/>
  <c r="T62" i="4"/>
  <c r="B67" i="7"/>
  <c r="R63" i="4"/>
  <c r="D39" i="3"/>
  <c r="H38" i="3"/>
  <c r="C39" i="3"/>
  <c r="E39" i="3"/>
  <c r="AJ646" i="4" l="1"/>
  <c r="AK646" i="4" s="1"/>
  <c r="AF647" i="4" s="1"/>
  <c r="AJ452" i="4"/>
  <c r="AK452" i="4" s="1"/>
  <c r="AF453" i="4" s="1"/>
  <c r="AL186" i="4"/>
  <c r="AI187" i="4"/>
  <c r="AG187" i="4"/>
  <c r="AK187" i="4" s="1"/>
  <c r="AF188" i="4" s="1"/>
  <c r="AH187" i="4"/>
  <c r="AJ187" i="4" s="1"/>
  <c r="AH64" i="4"/>
  <c r="AL63" i="4"/>
  <c r="AG64" i="4"/>
  <c r="AI64" i="4"/>
  <c r="X60" i="4"/>
  <c r="Z60" i="4"/>
  <c r="S63" i="4"/>
  <c r="N64" i="4" s="1"/>
  <c r="C67" i="7"/>
  <c r="C66" i="7"/>
  <c r="Y60" i="4"/>
  <c r="AC59" i="4"/>
  <c r="F39" i="3"/>
  <c r="G39" i="3" s="1"/>
  <c r="B40" i="3" s="1"/>
  <c r="AH647" i="4" l="1"/>
  <c r="AJ647" i="4" s="1"/>
  <c r="AK647" i="4" s="1"/>
  <c r="AF648" i="4" s="1"/>
  <c r="AL646" i="4"/>
  <c r="AG647" i="4"/>
  <c r="AI647" i="4"/>
  <c r="AG453" i="4"/>
  <c r="AH453" i="4"/>
  <c r="AI453" i="4"/>
  <c r="AL452" i="4"/>
  <c r="AI188" i="4"/>
  <c r="AG188" i="4"/>
  <c r="AK188" i="4" s="1"/>
  <c r="AF189" i="4" s="1"/>
  <c r="AL187" i="4"/>
  <c r="AH188" i="4"/>
  <c r="AJ188" i="4" s="1"/>
  <c r="AJ64" i="4"/>
  <c r="AK64" i="4" s="1"/>
  <c r="AF65" i="4" s="1"/>
  <c r="AA60" i="4"/>
  <c r="AB60" i="4" s="1"/>
  <c r="W61" i="4" s="1"/>
  <c r="P64" i="4"/>
  <c r="R64" i="4" s="1"/>
  <c r="S64" i="4" s="1"/>
  <c r="N65" i="4" s="1"/>
  <c r="Q64" i="4"/>
  <c r="T63" i="4"/>
  <c r="O64" i="4"/>
  <c r="F7" i="7"/>
  <c r="B5" i="7" a="1"/>
  <c r="B5" i="7" s="1"/>
  <c r="D40" i="3"/>
  <c r="H39" i="3"/>
  <c r="E40" i="3"/>
  <c r="C40" i="3"/>
  <c r="AI648" i="4" l="1"/>
  <c r="AG648" i="4"/>
  <c r="AK648" i="4" s="1"/>
  <c r="AF649" i="4" s="1"/>
  <c r="AL647" i="4"/>
  <c r="AH648" i="4"/>
  <c r="AJ648" i="4" s="1"/>
  <c r="AJ453" i="4"/>
  <c r="AK453" i="4" s="1"/>
  <c r="AF454" i="4" s="1"/>
  <c r="AI189" i="4"/>
  <c r="AG189" i="4"/>
  <c r="AK189" i="4" s="1"/>
  <c r="AF190" i="4" s="1"/>
  <c r="AL188" i="4"/>
  <c r="AH189" i="4"/>
  <c r="AJ189" i="4" s="1"/>
  <c r="AI65" i="4"/>
  <c r="AG65" i="4"/>
  <c r="AK65" i="4" s="1"/>
  <c r="AF66" i="4" s="1"/>
  <c r="AH65" i="4"/>
  <c r="AJ65" i="4" s="1"/>
  <c r="AL64" i="4"/>
  <c r="Z61" i="4"/>
  <c r="Y61" i="4"/>
  <c r="AA61" i="4" s="1"/>
  <c r="X61" i="4"/>
  <c r="AC60" i="4"/>
  <c r="AB61" i="4"/>
  <c r="W62" i="4" s="1"/>
  <c r="X62" i="4"/>
  <c r="AC61" i="4"/>
  <c r="P65" i="4"/>
  <c r="Q65" i="4"/>
  <c r="O65" i="4"/>
  <c r="T64" i="4"/>
  <c r="F40" i="3"/>
  <c r="G40" i="3" s="1"/>
  <c r="B41" i="3" s="1"/>
  <c r="AH649" i="4" l="1"/>
  <c r="AG649" i="4"/>
  <c r="AL648" i="4"/>
  <c r="AI649" i="4"/>
  <c r="AG454" i="4"/>
  <c r="AH454" i="4"/>
  <c r="AI454" i="4"/>
  <c r="AL453" i="4"/>
  <c r="AI190" i="4"/>
  <c r="AG190" i="4"/>
  <c r="AL189" i="4"/>
  <c r="AH190" i="4"/>
  <c r="AG66" i="4"/>
  <c r="AK66" i="4" s="1"/>
  <c r="AF67" i="4" s="1"/>
  <c r="AI66" i="4"/>
  <c r="AL65" i="4"/>
  <c r="AH66" i="4"/>
  <c r="AJ66" i="4" s="1"/>
  <c r="Y62" i="4"/>
  <c r="Z62" i="4"/>
  <c r="AA62" i="4" s="1"/>
  <c r="AB62" i="4" s="1"/>
  <c r="W63" i="4" s="1"/>
  <c r="Z63" i="4" s="1"/>
  <c r="R65" i="4"/>
  <c r="S65" i="4" s="1"/>
  <c r="N66" i="4" s="1"/>
  <c r="C41" i="3"/>
  <c r="E41" i="3"/>
  <c r="H40" i="3"/>
  <c r="D41" i="3"/>
  <c r="AJ649" i="4" l="1"/>
  <c r="AK649" i="4" s="1"/>
  <c r="AF650" i="4" s="1"/>
  <c r="AJ454" i="4"/>
  <c r="AK454" i="4" s="1"/>
  <c r="AF455" i="4" s="1"/>
  <c r="AJ190" i="4"/>
  <c r="AK190" i="4" s="1"/>
  <c r="AF191" i="4" s="1"/>
  <c r="AL66" i="4"/>
  <c r="AI67" i="4"/>
  <c r="AG67" i="4"/>
  <c r="AK67" i="4" s="1"/>
  <c r="AF68" i="4" s="1"/>
  <c r="AH67" i="4"/>
  <c r="AJ67" i="4" s="1"/>
  <c r="Y63" i="4"/>
  <c r="AC62" i="4"/>
  <c r="X63" i="4"/>
  <c r="P66" i="4"/>
  <c r="Q66" i="4"/>
  <c r="O66" i="4"/>
  <c r="T65" i="4"/>
  <c r="F41" i="3"/>
  <c r="G41" i="3" s="1"/>
  <c r="B42" i="3" s="1"/>
  <c r="E42" i="3" s="1"/>
  <c r="AL649" i="4" l="1"/>
  <c r="AG650" i="4"/>
  <c r="AH650" i="4"/>
  <c r="AI650" i="4"/>
  <c r="AG455" i="4"/>
  <c r="AH455" i="4"/>
  <c r="AI455" i="4"/>
  <c r="AL454" i="4"/>
  <c r="AH191" i="4"/>
  <c r="AL190" i="4"/>
  <c r="AG191" i="4"/>
  <c r="AI191" i="4"/>
  <c r="AI68" i="4"/>
  <c r="AH68" i="4"/>
  <c r="AJ68" i="4" s="1"/>
  <c r="AK68" i="4" s="1"/>
  <c r="AF69" i="4" s="1"/>
  <c r="AG68" i="4"/>
  <c r="AL67" i="4"/>
  <c r="AA63" i="4"/>
  <c r="AB63" i="4" s="1"/>
  <c r="W64" i="4" s="1"/>
  <c r="Z64" i="4" s="1"/>
  <c r="R66" i="4"/>
  <c r="S66" i="4"/>
  <c r="N67" i="4" s="1"/>
  <c r="H41" i="3"/>
  <c r="C42" i="3"/>
  <c r="D42" i="3"/>
  <c r="F42" i="3" s="1"/>
  <c r="AJ650" i="4" l="1"/>
  <c r="AK650" i="4" s="1"/>
  <c r="AF651" i="4" s="1"/>
  <c r="AJ455" i="4"/>
  <c r="AK455" i="4" s="1"/>
  <c r="AF456" i="4" s="1"/>
  <c r="AJ191" i="4"/>
  <c r="AK191" i="4" s="1"/>
  <c r="AF192" i="4" s="1"/>
  <c r="AI69" i="4"/>
  <c r="AG69" i="4"/>
  <c r="AK69" i="4"/>
  <c r="AF70" i="4" s="1"/>
  <c r="AL68" i="4"/>
  <c r="AH69" i="4"/>
  <c r="AJ69" i="4" s="1"/>
  <c r="Y64" i="4"/>
  <c r="AC63" i="4"/>
  <c r="X64" i="4"/>
  <c r="Q67" i="4"/>
  <c r="T66" i="4"/>
  <c r="O67" i="4"/>
  <c r="P67" i="4"/>
  <c r="G42" i="3"/>
  <c r="B43" i="3" s="1"/>
  <c r="H42" i="3" s="1"/>
  <c r="AI651" i="4" l="1"/>
  <c r="AG651" i="4"/>
  <c r="AL650" i="4"/>
  <c r="AH651" i="4"/>
  <c r="AJ651" i="4" s="1"/>
  <c r="AK651" i="4"/>
  <c r="AF652" i="4" s="1"/>
  <c r="AG456" i="4"/>
  <c r="AH456" i="4"/>
  <c r="AJ456" i="4" s="1"/>
  <c r="AK456" i="4" s="1"/>
  <c r="AF457" i="4" s="1"/>
  <c r="AI456" i="4"/>
  <c r="AL455" i="4"/>
  <c r="AH192" i="4"/>
  <c r="AL191" i="4"/>
  <c r="AG192" i="4"/>
  <c r="AI192" i="4"/>
  <c r="AL69" i="4"/>
  <c r="AI70" i="4"/>
  <c r="AG70" i="4"/>
  <c r="AH70" i="4"/>
  <c r="AJ70" i="4" s="1"/>
  <c r="AK70" i="4" s="1"/>
  <c r="AF71" i="4" s="1"/>
  <c r="AA64" i="4"/>
  <c r="AB64" i="4" s="1"/>
  <c r="W65" i="4" s="1"/>
  <c r="Z65" i="4" s="1"/>
  <c r="R67" i="4"/>
  <c r="S67" i="4" s="1"/>
  <c r="N68" i="4" s="1"/>
  <c r="E43" i="3"/>
  <c r="D43" i="3"/>
  <c r="C43" i="3"/>
  <c r="AI652" i="4" l="1"/>
  <c r="AH652" i="4"/>
  <c r="AJ652" i="4" s="1"/>
  <c r="AL651" i="4"/>
  <c r="AG652" i="4"/>
  <c r="AK652" i="4" s="1"/>
  <c r="AF653" i="4" s="1"/>
  <c r="AL456" i="4"/>
  <c r="AI457" i="4"/>
  <c r="AH457" i="4"/>
  <c r="AJ457" i="4" s="1"/>
  <c r="AG457" i="4"/>
  <c r="AK457" i="4" s="1"/>
  <c r="AF458" i="4" s="1"/>
  <c r="AJ192" i="4"/>
  <c r="AK192" i="4" s="1"/>
  <c r="AF193" i="4" s="1"/>
  <c r="AH71" i="4"/>
  <c r="AL70" i="4"/>
  <c r="AG71" i="4"/>
  <c r="AI71" i="4"/>
  <c r="AC64" i="4"/>
  <c r="X65" i="4"/>
  <c r="Y65" i="4"/>
  <c r="T67" i="4"/>
  <c r="P68" i="4"/>
  <c r="Q68" i="4"/>
  <c r="O68" i="4"/>
  <c r="F43" i="3"/>
  <c r="G43" i="3" s="1"/>
  <c r="B44" i="3" s="1"/>
  <c r="AH653" i="4" l="1"/>
  <c r="AG653" i="4"/>
  <c r="AL652" i="4"/>
  <c r="AI653" i="4"/>
  <c r="AL457" i="4"/>
  <c r="AI458" i="4"/>
  <c r="AH458" i="4"/>
  <c r="AJ458" i="4" s="1"/>
  <c r="AG458" i="4"/>
  <c r="AK458" i="4" s="1"/>
  <c r="AF459" i="4" s="1"/>
  <c r="AG193" i="4"/>
  <c r="AI193" i="4"/>
  <c r="AL192" i="4"/>
  <c r="AH193" i="4"/>
  <c r="AJ193" i="4" s="1"/>
  <c r="AK193" i="4" s="1"/>
  <c r="AF194" i="4" s="1"/>
  <c r="AJ71" i="4"/>
  <c r="AK71" i="4" s="1"/>
  <c r="AF72" i="4" s="1"/>
  <c r="AA65" i="4"/>
  <c r="AB65" i="4" s="1"/>
  <c r="W66" i="4" s="1"/>
  <c r="Z66" i="4" s="1"/>
  <c r="R68" i="4"/>
  <c r="S68" i="4" s="1"/>
  <c r="N69" i="4" s="1"/>
  <c r="D44" i="3"/>
  <c r="C44" i="3"/>
  <c r="H43" i="3"/>
  <c r="E44" i="3"/>
  <c r="AJ653" i="4" l="1"/>
  <c r="AK653" i="4" s="1"/>
  <c r="AF654" i="4" s="1"/>
  <c r="AL458" i="4"/>
  <c r="AI459" i="4"/>
  <c r="AH459" i="4"/>
  <c r="AJ459" i="4" s="1"/>
  <c r="AG459" i="4"/>
  <c r="AK459" i="4" s="1"/>
  <c r="AF460" i="4" s="1"/>
  <c r="AI194" i="4"/>
  <c r="AH194" i="4"/>
  <c r="AJ194" i="4" s="1"/>
  <c r="AG194" i="4"/>
  <c r="AK194" i="4" s="1"/>
  <c r="AF195" i="4" s="1"/>
  <c r="AL193" i="4"/>
  <c r="AH72" i="4"/>
  <c r="AI72" i="4"/>
  <c r="AG72" i="4"/>
  <c r="AL71" i="4"/>
  <c r="Y66" i="4"/>
  <c r="X66" i="4"/>
  <c r="AC65" i="4"/>
  <c r="Q69" i="4"/>
  <c r="O69" i="4"/>
  <c r="T68" i="4"/>
  <c r="P69" i="4"/>
  <c r="F44" i="3"/>
  <c r="G44" i="3" s="1"/>
  <c r="B45" i="3" s="1"/>
  <c r="AH654" i="4" l="1"/>
  <c r="AL653" i="4"/>
  <c r="AG654" i="4"/>
  <c r="AI654" i="4"/>
  <c r="AL459" i="4"/>
  <c r="AI460" i="4"/>
  <c r="AH460" i="4"/>
  <c r="AG460" i="4"/>
  <c r="AL194" i="4"/>
  <c r="AH195" i="4"/>
  <c r="AJ195" i="4" s="1"/>
  <c r="AK195" i="4" s="1"/>
  <c r="AF196" i="4" s="1"/>
  <c r="AG195" i="4"/>
  <c r="AI195" i="4"/>
  <c r="AJ72" i="4"/>
  <c r="AK72" i="4" s="1"/>
  <c r="AF73" i="4" s="1"/>
  <c r="AA66" i="4"/>
  <c r="AB66" i="4" s="1"/>
  <c r="W67" i="4" s="1"/>
  <c r="Z67" i="4" s="1"/>
  <c r="R69" i="4"/>
  <c r="S69" i="4" s="1"/>
  <c r="N70" i="4" s="1"/>
  <c r="Q70" i="4" s="1"/>
  <c r="C45" i="3"/>
  <c r="E45" i="3"/>
  <c r="H44" i="3"/>
  <c r="D45" i="3"/>
  <c r="AJ654" i="4" l="1"/>
  <c r="AK654" i="4" s="1"/>
  <c r="AF655" i="4" s="1"/>
  <c r="AJ460" i="4"/>
  <c r="AK460" i="4" s="1"/>
  <c r="AF461" i="4" s="1"/>
  <c r="AH196" i="4"/>
  <c r="AJ196" i="4" s="1"/>
  <c r="AG196" i="4"/>
  <c r="AL195" i="4"/>
  <c r="AK196" i="4"/>
  <c r="AF197" i="4" s="1"/>
  <c r="AI196" i="4"/>
  <c r="AL72" i="4"/>
  <c r="AH73" i="4"/>
  <c r="AG73" i="4"/>
  <c r="AI73" i="4"/>
  <c r="AC66" i="4"/>
  <c r="X67" i="4"/>
  <c r="Y67" i="4"/>
  <c r="T69" i="4"/>
  <c r="P70" i="4"/>
  <c r="R70" i="4" s="1"/>
  <c r="O70" i="4"/>
  <c r="F45" i="3"/>
  <c r="G45" i="3" s="1"/>
  <c r="B46" i="3" s="1"/>
  <c r="C46" i="3" s="1"/>
  <c r="AL654" i="4" l="1"/>
  <c r="AG655" i="4"/>
  <c r="AI655" i="4"/>
  <c r="AH655" i="4"/>
  <c r="AJ655" i="4" s="1"/>
  <c r="AK655" i="4" s="1"/>
  <c r="AF656" i="4" s="1"/>
  <c r="AG461" i="4"/>
  <c r="AH461" i="4"/>
  <c r="AI461" i="4"/>
  <c r="AL460" i="4"/>
  <c r="AL196" i="4"/>
  <c r="AI197" i="4"/>
  <c r="AG197" i="4"/>
  <c r="AH197" i="4"/>
  <c r="AJ197" i="4" s="1"/>
  <c r="AK197" i="4" s="1"/>
  <c r="AF198" i="4" s="1"/>
  <c r="AJ73" i="4"/>
  <c r="AK73" i="4" s="1"/>
  <c r="AF74" i="4" s="1"/>
  <c r="AA67" i="4"/>
  <c r="AB67" i="4" s="1"/>
  <c r="W68" i="4" s="1"/>
  <c r="Z68" i="4" s="1"/>
  <c r="S70" i="4"/>
  <c r="N71" i="4" s="1"/>
  <c r="E46" i="3"/>
  <c r="D46" i="3"/>
  <c r="H45" i="3"/>
  <c r="AH656" i="4" l="1"/>
  <c r="AL655" i="4"/>
  <c r="AI656" i="4"/>
  <c r="AG656" i="4"/>
  <c r="AJ461" i="4"/>
  <c r="AK461" i="4" s="1"/>
  <c r="AF462" i="4" s="1"/>
  <c r="AI198" i="4"/>
  <c r="AG198" i="4"/>
  <c r="AK198" i="4" s="1"/>
  <c r="AF199" i="4" s="1"/>
  <c r="AL197" i="4"/>
  <c r="AH198" i="4"/>
  <c r="AJ198" i="4" s="1"/>
  <c r="AG74" i="4"/>
  <c r="AK74" i="4" s="1"/>
  <c r="AF75" i="4" s="1"/>
  <c r="AI74" i="4"/>
  <c r="AL73" i="4"/>
  <c r="AH74" i="4"/>
  <c r="AJ74" i="4" s="1"/>
  <c r="X68" i="4"/>
  <c r="AC67" i="4"/>
  <c r="Y68" i="4"/>
  <c r="AA68" i="4" s="1"/>
  <c r="AB68" i="4" s="1"/>
  <c r="W69" i="4" s="1"/>
  <c r="Z69" i="4" s="1"/>
  <c r="O71" i="4"/>
  <c r="T70" i="4"/>
  <c r="P71" i="4"/>
  <c r="Q71" i="4"/>
  <c r="F46" i="3"/>
  <c r="G46" i="3" s="1"/>
  <c r="B47" i="3" s="1"/>
  <c r="D47" i="3" s="1"/>
  <c r="E47" i="3"/>
  <c r="F47" i="3" s="1"/>
  <c r="C47" i="3"/>
  <c r="H46" i="3"/>
  <c r="AJ656" i="4" l="1"/>
  <c r="AK656" i="4" s="1"/>
  <c r="AF657" i="4" s="1"/>
  <c r="AG462" i="4"/>
  <c r="AH462" i="4"/>
  <c r="AI462" i="4"/>
  <c r="AL461" i="4"/>
  <c r="AI199" i="4"/>
  <c r="AG199" i="4"/>
  <c r="AK199" i="4" s="1"/>
  <c r="AF200" i="4" s="1"/>
  <c r="AL198" i="4"/>
  <c r="AH199" i="4"/>
  <c r="AJ199" i="4" s="1"/>
  <c r="AL74" i="4"/>
  <c r="AG75" i="4"/>
  <c r="AK75" i="4" s="1"/>
  <c r="AF76" i="4" s="1"/>
  <c r="AI75" i="4"/>
  <c r="AH75" i="4"/>
  <c r="AJ75" i="4" s="1"/>
  <c r="Y69" i="4"/>
  <c r="X69" i="4"/>
  <c r="AC68" i="4"/>
  <c r="R71" i="4"/>
  <c r="S71" i="4" s="1"/>
  <c r="N72" i="4" s="1"/>
  <c r="O72" i="4" s="1"/>
  <c r="G47" i="3"/>
  <c r="B48" i="3" s="1"/>
  <c r="D48" i="3" s="1"/>
  <c r="AI657" i="4" l="1"/>
  <c r="AL656" i="4"/>
  <c r="AH657" i="4"/>
  <c r="AJ657" i="4" s="1"/>
  <c r="AG657" i="4"/>
  <c r="AK657" i="4" s="1"/>
  <c r="AF658" i="4" s="1"/>
  <c r="AJ462" i="4"/>
  <c r="AK462" i="4" s="1"/>
  <c r="AF463" i="4" s="1"/>
  <c r="AH200" i="4"/>
  <c r="AL199" i="4"/>
  <c r="AI200" i="4"/>
  <c r="AG200" i="4"/>
  <c r="AH76" i="4"/>
  <c r="AG76" i="4"/>
  <c r="AL75" i="4"/>
  <c r="AI76" i="4"/>
  <c r="AA69" i="4"/>
  <c r="AB69" i="4" s="1"/>
  <c r="W70" i="4" s="1"/>
  <c r="Z70" i="4" s="1"/>
  <c r="Q72" i="4"/>
  <c r="T71" i="4"/>
  <c r="P72" i="4"/>
  <c r="C48" i="3"/>
  <c r="E48" i="3"/>
  <c r="H47" i="3"/>
  <c r="F48" i="3"/>
  <c r="G48" i="3" s="1"/>
  <c r="B49" i="3" s="1"/>
  <c r="AG658" i="4" l="1"/>
  <c r="AL657" i="4"/>
  <c r="AI658" i="4"/>
  <c r="AH658" i="4"/>
  <c r="AJ658" i="4" s="1"/>
  <c r="AK658" i="4" s="1"/>
  <c r="AF659" i="4" s="1"/>
  <c r="AG463" i="4"/>
  <c r="AH463" i="4"/>
  <c r="AI463" i="4"/>
  <c r="AL462" i="4"/>
  <c r="AJ200" i="4"/>
  <c r="AK200" i="4" s="1"/>
  <c r="AF201" i="4" s="1"/>
  <c r="AJ76" i="4"/>
  <c r="AK76" i="4" s="1"/>
  <c r="AF77" i="4" s="1"/>
  <c r="R72" i="4"/>
  <c r="S72" i="4" s="1"/>
  <c r="N73" i="4" s="1"/>
  <c r="X70" i="4"/>
  <c r="Y70" i="4"/>
  <c r="AC69" i="4"/>
  <c r="D49" i="3"/>
  <c r="H48" i="3"/>
  <c r="C49" i="3"/>
  <c r="E49" i="3"/>
  <c r="AI659" i="4" l="1"/>
  <c r="AL658" i="4"/>
  <c r="AG659" i="4"/>
  <c r="AK659" i="4" s="1"/>
  <c r="AF660" i="4" s="1"/>
  <c r="AH659" i="4"/>
  <c r="AJ659" i="4" s="1"/>
  <c r="AJ463" i="4"/>
  <c r="AK463" i="4" s="1"/>
  <c r="AF464" i="4" s="1"/>
  <c r="AI201" i="4"/>
  <c r="AL200" i="4"/>
  <c r="AG201" i="4"/>
  <c r="AH201" i="4"/>
  <c r="AJ201" i="4" s="1"/>
  <c r="AK201" i="4" s="1"/>
  <c r="AF202" i="4" s="1"/>
  <c r="AI77" i="4"/>
  <c r="AG77" i="4"/>
  <c r="AL76" i="4"/>
  <c r="AH77" i="4"/>
  <c r="AJ77" i="4" s="1"/>
  <c r="AK77" i="4" s="1"/>
  <c r="AF78" i="4" s="1"/>
  <c r="O73" i="4"/>
  <c r="T72" i="4"/>
  <c r="P73" i="4"/>
  <c r="R73" i="4" s="1"/>
  <c r="S73" i="4" s="1"/>
  <c r="N74" i="4" s="1"/>
  <c r="Q73" i="4"/>
  <c r="AA70" i="4"/>
  <c r="AB70" i="4" s="1"/>
  <c r="W71" i="4" s="1"/>
  <c r="Z71" i="4" s="1"/>
  <c r="F49" i="3"/>
  <c r="G49" i="3" s="1"/>
  <c r="B50" i="3" s="1"/>
  <c r="AI660" i="4" l="1"/>
  <c r="AH660" i="4"/>
  <c r="AJ660" i="4" s="1"/>
  <c r="AL659" i="4"/>
  <c r="AG660" i="4"/>
  <c r="AK660" i="4" s="1"/>
  <c r="AF661" i="4" s="1"/>
  <c r="AG464" i="4"/>
  <c r="AH464" i="4"/>
  <c r="AI464" i="4"/>
  <c r="AL463" i="4"/>
  <c r="AI202" i="4"/>
  <c r="AG202" i="4"/>
  <c r="AK202" i="4" s="1"/>
  <c r="AF203" i="4" s="1"/>
  <c r="AL201" i="4"/>
  <c r="AH202" i="4"/>
  <c r="AJ202" i="4" s="1"/>
  <c r="AL77" i="4"/>
  <c r="AH78" i="4"/>
  <c r="AJ78" i="4" s="1"/>
  <c r="AK78" i="4"/>
  <c r="AF79" i="4" s="1"/>
  <c r="AG78" i="4"/>
  <c r="AI78" i="4"/>
  <c r="Y71" i="4"/>
  <c r="X71" i="4"/>
  <c r="AC70" i="4"/>
  <c r="T73" i="4"/>
  <c r="P74" i="4"/>
  <c r="O74" i="4"/>
  <c r="Q74" i="4"/>
  <c r="C50" i="3"/>
  <c r="D50" i="3"/>
  <c r="H49" i="3"/>
  <c r="E50" i="3"/>
  <c r="AG661" i="4" l="1"/>
  <c r="AH661" i="4"/>
  <c r="AL660" i="4"/>
  <c r="AI661" i="4"/>
  <c r="AJ464" i="4"/>
  <c r="AK464" i="4" s="1"/>
  <c r="AF465" i="4" s="1"/>
  <c r="AL202" i="4"/>
  <c r="AI203" i="4"/>
  <c r="AG203" i="4"/>
  <c r="AK203" i="4" s="1"/>
  <c r="AF204" i="4" s="1"/>
  <c r="AH203" i="4"/>
  <c r="AJ203" i="4" s="1"/>
  <c r="AH79" i="4"/>
  <c r="AJ79" i="4" s="1"/>
  <c r="AL78" i="4"/>
  <c r="AG79" i="4"/>
  <c r="AK79" i="4" s="1"/>
  <c r="AF80" i="4" s="1"/>
  <c r="AI79" i="4"/>
  <c r="AA71" i="4"/>
  <c r="AB71" i="4" s="1"/>
  <c r="W72" i="4" s="1"/>
  <c r="Z72" i="4" s="1"/>
  <c r="Y72" i="4"/>
  <c r="R74" i="4"/>
  <c r="S74" i="4" s="1"/>
  <c r="N75" i="4" s="1"/>
  <c r="F50" i="3"/>
  <c r="G50" i="3" s="1"/>
  <c r="B51" i="3" s="1"/>
  <c r="AJ661" i="4" l="1"/>
  <c r="AK661" i="4" s="1"/>
  <c r="AF662" i="4" s="1"/>
  <c r="AG465" i="4"/>
  <c r="AH465" i="4"/>
  <c r="AI465" i="4"/>
  <c r="AL464" i="4"/>
  <c r="AI204" i="4"/>
  <c r="AG204" i="4"/>
  <c r="AL203" i="4"/>
  <c r="AH204" i="4"/>
  <c r="AJ204" i="4" s="1"/>
  <c r="AK204" i="4" s="1"/>
  <c r="AF205" i="4" s="1"/>
  <c r="AI80" i="4"/>
  <c r="AG80" i="4"/>
  <c r="AL79" i="4"/>
  <c r="AH80" i="4"/>
  <c r="AJ80" i="4" s="1"/>
  <c r="AK80" i="4" s="1"/>
  <c r="AF81" i="4" s="1"/>
  <c r="X72" i="4"/>
  <c r="AC71" i="4"/>
  <c r="AA72" i="4"/>
  <c r="AB72" i="4" s="1"/>
  <c r="W73" i="4" s="1"/>
  <c r="Y73" i="4"/>
  <c r="AC72" i="4"/>
  <c r="P75" i="4"/>
  <c r="T74" i="4"/>
  <c r="O75" i="4"/>
  <c r="Q75" i="4"/>
  <c r="C51" i="3"/>
  <c r="E51" i="3"/>
  <c r="H50" i="3"/>
  <c r="D51" i="3"/>
  <c r="AG662" i="4" l="1"/>
  <c r="AI662" i="4"/>
  <c r="AH662" i="4"/>
  <c r="AJ662" i="4" s="1"/>
  <c r="AK662" i="4"/>
  <c r="AF663" i="4" s="1"/>
  <c r="AL661" i="4"/>
  <c r="AJ465" i="4"/>
  <c r="AK465" i="4" s="1"/>
  <c r="AF466" i="4" s="1"/>
  <c r="AI205" i="4"/>
  <c r="AG205" i="4"/>
  <c r="AK205" i="4" s="1"/>
  <c r="AF206" i="4" s="1"/>
  <c r="AL204" i="4"/>
  <c r="AH205" i="4"/>
  <c r="AJ205" i="4" s="1"/>
  <c r="AI81" i="4"/>
  <c r="AL80" i="4"/>
  <c r="AG81" i="4"/>
  <c r="AH81" i="4"/>
  <c r="X73" i="4"/>
  <c r="W31" i="4"/>
  <c r="O10" i="4" s="1"/>
  <c r="Z73" i="4"/>
  <c r="AA73" i="4"/>
  <c r="AB73" i="4" s="1"/>
  <c r="W74" i="4" s="1"/>
  <c r="R75" i="4"/>
  <c r="S75" i="4" s="1"/>
  <c r="N76" i="4" s="1"/>
  <c r="F51" i="3"/>
  <c r="G51" i="3" s="1"/>
  <c r="B52" i="3" s="1"/>
  <c r="D52" i="3" s="1"/>
  <c r="AI663" i="4" l="1"/>
  <c r="AL662" i="4"/>
  <c r="AG663" i="4"/>
  <c r="AK663" i="4" s="1"/>
  <c r="AF664" i="4" s="1"/>
  <c r="AH663" i="4"/>
  <c r="AJ663" i="4" s="1"/>
  <c r="AI466" i="4"/>
  <c r="AL465" i="4"/>
  <c r="AG466" i="4"/>
  <c r="AH466" i="4"/>
  <c r="AI206" i="4"/>
  <c r="AG206" i="4"/>
  <c r="AK206" i="4" s="1"/>
  <c r="AF207" i="4" s="1"/>
  <c r="AL205" i="4"/>
  <c r="AH206" i="4"/>
  <c r="AJ206" i="4" s="1"/>
  <c r="AJ81" i="4"/>
  <c r="AK81" i="4" s="1"/>
  <c r="AF82" i="4" s="1"/>
  <c r="AC73" i="4"/>
  <c r="Z74" i="4"/>
  <c r="X74" i="4"/>
  <c r="Y74" i="4"/>
  <c r="T75" i="4"/>
  <c r="O76" i="4"/>
  <c r="Q76" i="4"/>
  <c r="P76" i="4"/>
  <c r="H51" i="3"/>
  <c r="E52" i="3"/>
  <c r="F52" i="3" s="1"/>
  <c r="C52" i="3"/>
  <c r="AH664" i="4" l="1"/>
  <c r="AL663" i="4"/>
  <c r="AI664" i="4"/>
  <c r="AG664" i="4"/>
  <c r="AJ466" i="4"/>
  <c r="AK466" i="4" s="1"/>
  <c r="AF467" i="4" s="1"/>
  <c r="AI207" i="4"/>
  <c r="AG207" i="4"/>
  <c r="AL206" i="4"/>
  <c r="AH207" i="4"/>
  <c r="AJ207" i="4" s="1"/>
  <c r="AK207" i="4" s="1"/>
  <c r="AF208" i="4" s="1"/>
  <c r="AI82" i="4"/>
  <c r="AL81" i="4"/>
  <c r="AG82" i="4"/>
  <c r="AK82" i="4" s="1"/>
  <c r="AF83" i="4" s="1"/>
  <c r="AH82" i="4"/>
  <c r="AJ82" i="4" s="1"/>
  <c r="AA74" i="4"/>
  <c r="AB74" i="4" s="1"/>
  <c r="W75" i="4" s="1"/>
  <c r="Z75" i="4" s="1"/>
  <c r="R76" i="4"/>
  <c r="S76" i="4" s="1"/>
  <c r="N77" i="4" s="1"/>
  <c r="G52" i="3"/>
  <c r="B53" i="3" s="1"/>
  <c r="E53" i="3" s="1"/>
  <c r="AJ664" i="4" l="1"/>
  <c r="AK664" i="4" s="1"/>
  <c r="AF665" i="4" s="1"/>
  <c r="AI467" i="4"/>
  <c r="AL466" i="4"/>
  <c r="AG467" i="4"/>
  <c r="AK467" i="4" s="1"/>
  <c r="AF468" i="4" s="1"/>
  <c r="AH467" i="4"/>
  <c r="AJ467" i="4" s="1"/>
  <c r="AI208" i="4"/>
  <c r="AG208" i="4"/>
  <c r="AL207" i="4"/>
  <c r="AH208" i="4"/>
  <c r="AJ208" i="4" s="1"/>
  <c r="AK208" i="4" s="1"/>
  <c r="AF209" i="4" s="1"/>
  <c r="AH83" i="4"/>
  <c r="AJ83" i="4" s="1"/>
  <c r="AK83" i="4" s="1"/>
  <c r="AF84" i="4" s="1"/>
  <c r="AG83" i="4"/>
  <c r="AL82" i="4"/>
  <c r="AI83" i="4"/>
  <c r="O77" i="4"/>
  <c r="P77" i="4"/>
  <c r="AC74" i="4"/>
  <c r="X75" i="4"/>
  <c r="Y75" i="4"/>
  <c r="Q77" i="4"/>
  <c r="T76" i="4"/>
  <c r="D53" i="3"/>
  <c r="F53" i="3" s="1"/>
  <c r="H52" i="3"/>
  <c r="C53" i="3"/>
  <c r="AG665" i="4" l="1"/>
  <c r="AH665" i="4"/>
  <c r="AI665" i="4"/>
  <c r="AL664" i="4"/>
  <c r="AH468" i="4"/>
  <c r="AG468" i="4"/>
  <c r="AL467" i="4"/>
  <c r="AI468" i="4"/>
  <c r="AI209" i="4"/>
  <c r="AL208" i="4"/>
  <c r="AH209" i="4"/>
  <c r="AJ209" i="4" s="1"/>
  <c r="AG209" i="4"/>
  <c r="AK209" i="4" s="1"/>
  <c r="AF210" i="4" s="1"/>
  <c r="AG84" i="4"/>
  <c r="AL83" i="4"/>
  <c r="AH84" i="4"/>
  <c r="AI84" i="4"/>
  <c r="R77" i="4"/>
  <c r="S77" i="4" s="1"/>
  <c r="N78" i="4" s="1"/>
  <c r="AA75" i="4"/>
  <c r="AB75" i="4" s="1"/>
  <c r="W76" i="4" s="1"/>
  <c r="Z76" i="4" s="1"/>
  <c r="G53" i="3"/>
  <c r="B54" i="3" s="1"/>
  <c r="AJ665" i="4" l="1"/>
  <c r="AK665" i="4" s="1"/>
  <c r="AF666" i="4" s="1"/>
  <c r="AJ468" i="4"/>
  <c r="AK468" i="4" s="1"/>
  <c r="AF469" i="4" s="1"/>
  <c r="AG210" i="4"/>
  <c r="AH210" i="4"/>
  <c r="AL209" i="4"/>
  <c r="AI210" i="4"/>
  <c r="AJ84" i="4"/>
  <c r="AK84" i="4" s="1"/>
  <c r="AF85" i="4" s="1"/>
  <c r="T77" i="4"/>
  <c r="O78" i="4"/>
  <c r="P78" i="4"/>
  <c r="Q78" i="4"/>
  <c r="X76" i="4"/>
  <c r="AC75" i="4"/>
  <c r="Y76" i="4"/>
  <c r="C54" i="3"/>
  <c r="H53" i="3"/>
  <c r="E54" i="3"/>
  <c r="D54" i="3"/>
  <c r="AG666" i="4" l="1"/>
  <c r="AH666" i="4"/>
  <c r="AI666" i="4"/>
  <c r="AL665" i="4"/>
  <c r="AH469" i="4"/>
  <c r="AL468" i="4"/>
  <c r="AG469" i="4"/>
  <c r="AI469" i="4"/>
  <c r="AJ210" i="4"/>
  <c r="AK210" i="4" s="1"/>
  <c r="AF211" i="4" s="1"/>
  <c r="AI85" i="4"/>
  <c r="AG85" i="4"/>
  <c r="AL84" i="4"/>
  <c r="AH85" i="4"/>
  <c r="R78" i="4"/>
  <c r="S78" i="4" s="1"/>
  <c r="N79" i="4" s="1"/>
  <c r="AA76" i="4"/>
  <c r="AB76" i="4" s="1"/>
  <c r="W77" i="4" s="1"/>
  <c r="Z77" i="4" s="1"/>
  <c r="F54" i="3"/>
  <c r="G54" i="3" s="1"/>
  <c r="B55" i="3" s="1"/>
  <c r="AJ666" i="4" l="1"/>
  <c r="AK666" i="4" s="1"/>
  <c r="AF667" i="4" s="1"/>
  <c r="AJ469" i="4"/>
  <c r="AK469" i="4" s="1"/>
  <c r="AF470" i="4" s="1"/>
  <c r="AH211" i="4"/>
  <c r="AL210" i="4"/>
  <c r="AG211" i="4"/>
  <c r="AI211" i="4"/>
  <c r="AJ85" i="4"/>
  <c r="AK85" i="4" s="1"/>
  <c r="AF86" i="4" s="1"/>
  <c r="O79" i="4"/>
  <c r="P79" i="4"/>
  <c r="T78" i="4"/>
  <c r="Q79" i="4"/>
  <c r="AC76" i="4"/>
  <c r="X77" i="4"/>
  <c r="Y77" i="4"/>
  <c r="E55" i="3"/>
  <c r="D55" i="3"/>
  <c r="C55" i="3"/>
  <c r="H54" i="3"/>
  <c r="AG667" i="4" l="1"/>
  <c r="AH667" i="4"/>
  <c r="AI667" i="4"/>
  <c r="AL666" i="4"/>
  <c r="AG470" i="4"/>
  <c r="AH470" i="4"/>
  <c r="AL469" i="4"/>
  <c r="AI470" i="4"/>
  <c r="AJ211" i="4"/>
  <c r="AK211" i="4" s="1"/>
  <c r="AF212" i="4" s="1"/>
  <c r="AH86" i="4"/>
  <c r="AJ86" i="4" s="1"/>
  <c r="AK86" i="4"/>
  <c r="AF87" i="4" s="1"/>
  <c r="AL85" i="4"/>
  <c r="AI86" i="4"/>
  <c r="AG86" i="4"/>
  <c r="R79" i="4"/>
  <c r="S79" i="4" s="1"/>
  <c r="N80" i="4" s="1"/>
  <c r="AA77" i="4"/>
  <c r="AB77" i="4" s="1"/>
  <c r="W78" i="4" s="1"/>
  <c r="Z78" i="4" s="1"/>
  <c r="F55" i="3"/>
  <c r="G55" i="3" s="1"/>
  <c r="B56" i="3" s="1"/>
  <c r="AJ667" i="4" l="1"/>
  <c r="AK667" i="4" s="1"/>
  <c r="AF668" i="4" s="1"/>
  <c r="AJ470" i="4"/>
  <c r="AK470" i="4" s="1"/>
  <c r="AF471" i="4" s="1"/>
  <c r="AI212" i="4"/>
  <c r="AG212" i="4"/>
  <c r="AL211" i="4"/>
  <c r="AH212" i="4"/>
  <c r="AJ212" i="4" s="1"/>
  <c r="AK212" i="4"/>
  <c r="AF213" i="4" s="1"/>
  <c r="AG87" i="4"/>
  <c r="AL86" i="4"/>
  <c r="AI87" i="4"/>
  <c r="AH87" i="4"/>
  <c r="AJ87" i="4" s="1"/>
  <c r="AK87" i="4" s="1"/>
  <c r="AF88" i="4" s="1"/>
  <c r="O80" i="4"/>
  <c r="T79" i="4"/>
  <c r="P80" i="4"/>
  <c r="Q80" i="4"/>
  <c r="Y78" i="4"/>
  <c r="AC77" i="4"/>
  <c r="X78" i="4"/>
  <c r="D56" i="3"/>
  <c r="E56" i="3"/>
  <c r="H55" i="3"/>
  <c r="C56" i="3"/>
  <c r="AG668" i="4" l="1"/>
  <c r="AH668" i="4"/>
  <c r="AI668" i="4"/>
  <c r="AL667" i="4"/>
  <c r="AI471" i="4"/>
  <c r="AH471" i="4"/>
  <c r="AJ471" i="4" s="1"/>
  <c r="AL470" i="4"/>
  <c r="AG471" i="4"/>
  <c r="AK471" i="4" s="1"/>
  <c r="AF472" i="4" s="1"/>
  <c r="AI213" i="4"/>
  <c r="AL212" i="4"/>
  <c r="AG213" i="4"/>
  <c r="AK213" i="4" s="1"/>
  <c r="AF214" i="4" s="1"/>
  <c r="AH213" i="4"/>
  <c r="AJ213" i="4" s="1"/>
  <c r="AH88" i="4"/>
  <c r="AI88" i="4"/>
  <c r="AL87" i="4"/>
  <c r="AG88" i="4"/>
  <c r="R80" i="4"/>
  <c r="S80" i="4" s="1"/>
  <c r="N81" i="4" s="1"/>
  <c r="AA78" i="4"/>
  <c r="AB78" i="4" s="1"/>
  <c r="W79" i="4" s="1"/>
  <c r="Z79" i="4" s="1"/>
  <c r="F56" i="3"/>
  <c r="G56" i="3" s="1"/>
  <c r="B57" i="3" s="1"/>
  <c r="C57" i="3" s="1"/>
  <c r="AJ668" i="4" l="1"/>
  <c r="AK668" i="4" s="1"/>
  <c r="AF669" i="4" s="1"/>
  <c r="AI472" i="4"/>
  <c r="AG472" i="4"/>
  <c r="AL471" i="4"/>
  <c r="AH472" i="4"/>
  <c r="AJ472" i="4" s="1"/>
  <c r="AK472" i="4" s="1"/>
  <c r="AF473" i="4" s="1"/>
  <c r="AL213" i="4"/>
  <c r="AH214" i="4"/>
  <c r="AG214" i="4"/>
  <c r="AI214" i="4"/>
  <c r="AJ88" i="4"/>
  <c r="AK88" i="4" s="1"/>
  <c r="AF89" i="4" s="1"/>
  <c r="O81" i="4"/>
  <c r="Q81" i="4"/>
  <c r="T80" i="4"/>
  <c r="P81" i="4"/>
  <c r="R81" i="4" s="1"/>
  <c r="X79" i="4"/>
  <c r="AC78" i="4"/>
  <c r="Y79" i="4"/>
  <c r="AA79" i="4" s="1"/>
  <c r="AB79" i="4" s="1"/>
  <c r="W80" i="4" s="1"/>
  <c r="Z80" i="4" s="1"/>
  <c r="H56" i="3"/>
  <c r="D57" i="3"/>
  <c r="F57" i="3" s="1"/>
  <c r="G57" i="3" s="1"/>
  <c r="B58" i="3" s="1"/>
  <c r="E57" i="3"/>
  <c r="AG669" i="4" l="1"/>
  <c r="AH669" i="4"/>
  <c r="AI669" i="4"/>
  <c r="AL668" i="4"/>
  <c r="AI473" i="4"/>
  <c r="AL472" i="4"/>
  <c r="AG473" i="4"/>
  <c r="AK473" i="4" s="1"/>
  <c r="AF474" i="4" s="1"/>
  <c r="AH473" i="4"/>
  <c r="AJ473" i="4" s="1"/>
  <c r="AJ214" i="4"/>
  <c r="AK214" i="4" s="1"/>
  <c r="AF215" i="4" s="1"/>
  <c r="AL88" i="4"/>
  <c r="AG89" i="4"/>
  <c r="AI89" i="4"/>
  <c r="AH89" i="4"/>
  <c r="S81" i="4"/>
  <c r="N82" i="4" s="1"/>
  <c r="Y80" i="4"/>
  <c r="AC79" i="4"/>
  <c r="X80" i="4"/>
  <c r="E58" i="3"/>
  <c r="D58" i="3"/>
  <c r="F58" i="3" s="1"/>
  <c r="H57" i="3"/>
  <c r="C58" i="3"/>
  <c r="G58" i="3" s="1"/>
  <c r="B59" i="3" s="1"/>
  <c r="AJ669" i="4" l="1"/>
  <c r="AK669" i="4" s="1"/>
  <c r="AF670" i="4" s="1"/>
  <c r="AG474" i="4"/>
  <c r="AH474" i="4"/>
  <c r="AL473" i="4"/>
  <c r="AI474" i="4"/>
  <c r="AL214" i="4"/>
  <c r="AH215" i="4"/>
  <c r="AG215" i="4"/>
  <c r="AI215" i="4"/>
  <c r="AJ89" i="4"/>
  <c r="AK89" i="4" s="1"/>
  <c r="AF90" i="4" s="1"/>
  <c r="T81" i="4"/>
  <c r="O82" i="4"/>
  <c r="Q82" i="4"/>
  <c r="R82" i="4" s="1"/>
  <c r="S82" i="4" s="1"/>
  <c r="N83" i="4" s="1"/>
  <c r="P82" i="4"/>
  <c r="AA80" i="4"/>
  <c r="AB80" i="4" s="1"/>
  <c r="W81" i="4" s="1"/>
  <c r="Z81" i="4" s="1"/>
  <c r="H58" i="3"/>
  <c r="E59" i="3"/>
  <c r="C59" i="3"/>
  <c r="D59" i="3"/>
  <c r="AG670" i="4" l="1"/>
  <c r="AH670" i="4"/>
  <c r="AI670" i="4"/>
  <c r="AL669" i="4"/>
  <c r="AJ474" i="4"/>
  <c r="AK474" i="4" s="1"/>
  <c r="AF475" i="4" s="1"/>
  <c r="AJ215" i="4"/>
  <c r="AK215" i="4" s="1"/>
  <c r="AF216" i="4" s="1"/>
  <c r="AH90" i="4"/>
  <c r="AG90" i="4"/>
  <c r="AL89" i="4"/>
  <c r="AI90" i="4"/>
  <c r="T82" i="4"/>
  <c r="O83" i="4"/>
  <c r="Q83" i="4"/>
  <c r="P83" i="4"/>
  <c r="R83" i="4" s="1"/>
  <c r="S83" i="4" s="1"/>
  <c r="N84" i="4" s="1"/>
  <c r="Y81" i="4"/>
  <c r="X81" i="4"/>
  <c r="AC80" i="4"/>
  <c r="AA81" i="4"/>
  <c r="AB81" i="4" s="1"/>
  <c r="W82" i="4" s="1"/>
  <c r="Z82" i="4" s="1"/>
  <c r="F59" i="3"/>
  <c r="G59" i="3"/>
  <c r="B60" i="3" s="1"/>
  <c r="AJ670" i="4" l="1"/>
  <c r="AK670" i="4" s="1"/>
  <c r="AF671" i="4" s="1"/>
  <c r="AG475" i="4"/>
  <c r="AK475" i="4" s="1"/>
  <c r="AF476" i="4" s="1"/>
  <c r="AI475" i="4"/>
  <c r="AL474" i="4"/>
  <c r="AH475" i="4"/>
  <c r="AJ475" i="4" s="1"/>
  <c r="AI216" i="4"/>
  <c r="AG216" i="4"/>
  <c r="AL215" i="4"/>
  <c r="AH216" i="4"/>
  <c r="AJ216" i="4" s="1"/>
  <c r="AK216" i="4" s="1"/>
  <c r="AF217" i="4" s="1"/>
  <c r="AJ90" i="4"/>
  <c r="AK90" i="4" s="1"/>
  <c r="AF91" i="4" s="1"/>
  <c r="P84" i="4"/>
  <c r="Q84" i="4"/>
  <c r="T83" i="4"/>
  <c r="O84" i="4"/>
  <c r="AC81" i="4"/>
  <c r="X82" i="4"/>
  <c r="Y82" i="4"/>
  <c r="R84" i="4"/>
  <c r="S84" i="4" s="1"/>
  <c r="N85" i="4" s="1"/>
  <c r="Q85" i="4" s="1"/>
  <c r="C60" i="3"/>
  <c r="H59" i="3"/>
  <c r="E60" i="3"/>
  <c r="D60" i="3"/>
  <c r="F60" i="3" s="1"/>
  <c r="G60" i="3" s="1"/>
  <c r="B61" i="3" s="1"/>
  <c r="E61" i="3" s="1"/>
  <c r="AG671" i="4" l="1"/>
  <c r="AH671" i="4"/>
  <c r="AI671" i="4"/>
  <c r="AL670" i="4"/>
  <c r="AH476" i="4"/>
  <c r="AI476" i="4"/>
  <c r="AL475" i="4"/>
  <c r="AG476" i="4"/>
  <c r="AG217" i="4"/>
  <c r="AH217" i="4"/>
  <c r="AL216" i="4"/>
  <c r="AI217" i="4"/>
  <c r="AH91" i="4"/>
  <c r="AJ91" i="4" s="1"/>
  <c r="AK91" i="4" s="1"/>
  <c r="AF92" i="4" s="1"/>
  <c r="AI91" i="4"/>
  <c r="AL90" i="4"/>
  <c r="AG91" i="4"/>
  <c r="AA82" i="4"/>
  <c r="AB82" i="4"/>
  <c r="W83" i="4" s="1"/>
  <c r="Z83" i="4" s="1"/>
  <c r="AC83" i="4"/>
  <c r="P85" i="4"/>
  <c r="R85" i="4" s="1"/>
  <c r="O85" i="4"/>
  <c r="T84" i="4"/>
  <c r="H60" i="3"/>
  <c r="C61" i="3"/>
  <c r="D61" i="3"/>
  <c r="F61" i="3" s="1"/>
  <c r="G61" i="3" s="1"/>
  <c r="B62" i="3" s="1"/>
  <c r="AJ671" i="4" l="1"/>
  <c r="AK671" i="4" s="1"/>
  <c r="AF672" i="4" s="1"/>
  <c r="AJ476" i="4"/>
  <c r="AK476" i="4" s="1"/>
  <c r="AF477" i="4" s="1"/>
  <c r="AJ217" i="4"/>
  <c r="AK217" i="4" s="1"/>
  <c r="AF218" i="4" s="1"/>
  <c r="AI92" i="4"/>
  <c r="AG92" i="4"/>
  <c r="AL91" i="4"/>
  <c r="AH92" i="4"/>
  <c r="X83" i="4"/>
  <c r="AC82" i="4"/>
  <c r="Y83" i="4"/>
  <c r="AA83" i="4" s="1"/>
  <c r="S85" i="4"/>
  <c r="N86" i="4" s="1"/>
  <c r="C62" i="3"/>
  <c r="H61" i="3"/>
  <c r="E62" i="3"/>
  <c r="D62" i="3"/>
  <c r="AG672" i="4" l="1"/>
  <c r="AH672" i="4"/>
  <c r="AI672" i="4"/>
  <c r="AL671" i="4"/>
  <c r="AH477" i="4"/>
  <c r="AJ477" i="4" s="1"/>
  <c r="AL476" i="4"/>
  <c r="AG477" i="4"/>
  <c r="AK477" i="4" s="1"/>
  <c r="AF478" i="4" s="1"/>
  <c r="AI477" i="4"/>
  <c r="AI218" i="4"/>
  <c r="AG218" i="4"/>
  <c r="AL217" i="4"/>
  <c r="AH218" i="4"/>
  <c r="AJ218" i="4" s="1"/>
  <c r="AK218" i="4" s="1"/>
  <c r="AF219" i="4" s="1"/>
  <c r="AJ92" i="4"/>
  <c r="AK92" i="4" s="1"/>
  <c r="AF93" i="4" s="1"/>
  <c r="AB83" i="4"/>
  <c r="I34" i="4"/>
  <c r="I35" i="4"/>
  <c r="I36" i="4"/>
  <c r="I37" i="4"/>
  <c r="I38" i="4"/>
  <c r="I39" i="4"/>
  <c r="I40" i="4"/>
  <c r="I41" i="4"/>
  <c r="I51" i="4"/>
  <c r="I42" i="4"/>
  <c r="I43" i="4"/>
  <c r="I44" i="4"/>
  <c r="I45" i="4"/>
  <c r="I46" i="4"/>
  <c r="I47" i="4"/>
  <c r="I48" i="4"/>
  <c r="I49" i="4"/>
  <c r="I50" i="4"/>
  <c r="I52" i="4"/>
  <c r="I53" i="4"/>
  <c r="I32" i="4"/>
  <c r="P86" i="4"/>
  <c r="Q86" i="4"/>
  <c r="O86" i="4"/>
  <c r="T85" i="4"/>
  <c r="F62" i="3"/>
  <c r="G62" i="3"/>
  <c r="B63" i="3" s="1"/>
  <c r="AJ672" i="4" l="1"/>
  <c r="AK672" i="4" s="1"/>
  <c r="AF673" i="4" s="1"/>
  <c r="AI478" i="4"/>
  <c r="AH478" i="4"/>
  <c r="AJ478" i="4" s="1"/>
  <c r="AL477" i="4"/>
  <c r="AG478" i="4"/>
  <c r="AK478" i="4" s="1"/>
  <c r="AF479" i="4" s="1"/>
  <c r="AH219" i="4"/>
  <c r="AG219" i="4"/>
  <c r="AL218" i="4"/>
  <c r="AI219" i="4"/>
  <c r="AG93" i="4"/>
  <c r="AI93" i="4"/>
  <c r="AL92" i="4"/>
  <c r="AH93" i="4"/>
  <c r="AJ93" i="4" s="1"/>
  <c r="AK93" i="4"/>
  <c r="AF94" i="4" s="1"/>
  <c r="K40" i="4"/>
  <c r="K51" i="4"/>
  <c r="K47" i="4"/>
  <c r="K49" i="4"/>
  <c r="K35" i="4"/>
  <c r="K37" i="4"/>
  <c r="K39" i="4"/>
  <c r="K41" i="4"/>
  <c r="K42" i="4"/>
  <c r="K43" i="4"/>
  <c r="K44" i="4"/>
  <c r="K45" i="4"/>
  <c r="K46" i="4"/>
  <c r="K48" i="4"/>
  <c r="K50" i="4"/>
  <c r="K52" i="4"/>
  <c r="K53" i="4"/>
  <c r="K34" i="4"/>
  <c r="K36" i="4"/>
  <c r="K38" i="4"/>
  <c r="J50" i="4"/>
  <c r="J52" i="4"/>
  <c r="J53" i="4"/>
  <c r="J40" i="4"/>
  <c r="J41" i="4"/>
  <c r="J51" i="4"/>
  <c r="J42" i="4"/>
  <c r="J43" i="4"/>
  <c r="J44" i="4"/>
  <c r="J45" i="4"/>
  <c r="J46" i="4"/>
  <c r="J47" i="4"/>
  <c r="J48" i="4"/>
  <c r="J33" i="4"/>
  <c r="J34" i="4"/>
  <c r="J35" i="4"/>
  <c r="J36" i="4"/>
  <c r="J37" i="4"/>
  <c r="J38" i="4"/>
  <c r="J39" i="4"/>
  <c r="J49" i="4"/>
  <c r="R86" i="4"/>
  <c r="S86" i="4" s="1"/>
  <c r="N87" i="4" s="1"/>
  <c r="E63" i="3"/>
  <c r="C63" i="3"/>
  <c r="H62" i="3"/>
  <c r="D63" i="3"/>
  <c r="AG673" i="4" l="1"/>
  <c r="AH673" i="4"/>
  <c r="AI673" i="4"/>
  <c r="AL672" i="4"/>
  <c r="AH479" i="4"/>
  <c r="AJ479" i="4" s="1"/>
  <c r="AK479" i="4" s="1"/>
  <c r="AF480" i="4" s="1"/>
  <c r="AG479" i="4"/>
  <c r="AI479" i="4"/>
  <c r="AL478" i="4"/>
  <c r="AJ219" i="4"/>
  <c r="AK219" i="4" s="1"/>
  <c r="AF220" i="4" s="1"/>
  <c r="AG94" i="4"/>
  <c r="AH94" i="4"/>
  <c r="AL93" i="4"/>
  <c r="AI94" i="4"/>
  <c r="P87" i="4"/>
  <c r="Q87" i="4"/>
  <c r="T86" i="4"/>
  <c r="O87" i="4"/>
  <c r="F63" i="3"/>
  <c r="G63" i="3" s="1"/>
  <c r="B64" i="3" s="1"/>
  <c r="AJ673" i="4" l="1"/>
  <c r="AK673" i="4" s="1"/>
  <c r="AF674" i="4" s="1"/>
  <c r="AI480" i="4"/>
  <c r="AH480" i="4"/>
  <c r="AJ480" i="4" s="1"/>
  <c r="AL479" i="4"/>
  <c r="AG480" i="4"/>
  <c r="AK480" i="4" s="1"/>
  <c r="AF481" i="4" s="1"/>
  <c r="AG220" i="4"/>
  <c r="AH220" i="4"/>
  <c r="AL219" i="4"/>
  <c r="AI220" i="4"/>
  <c r="AJ94" i="4"/>
  <c r="AK94" i="4" s="1"/>
  <c r="AF95" i="4" s="1"/>
  <c r="R87" i="4"/>
  <c r="S87" i="4" s="1"/>
  <c r="N88" i="4" s="1"/>
  <c r="H63" i="3"/>
  <c r="D64" i="3"/>
  <c r="C64" i="3"/>
  <c r="E64" i="3"/>
  <c r="AG674" i="4" l="1"/>
  <c r="AH674" i="4"/>
  <c r="AI674" i="4"/>
  <c r="AL673" i="4"/>
  <c r="AI481" i="4"/>
  <c r="AG481" i="4"/>
  <c r="AK481" i="4" s="1"/>
  <c r="AF482" i="4" s="1"/>
  <c r="AH481" i="4"/>
  <c r="AJ481" i="4" s="1"/>
  <c r="AL480" i="4"/>
  <c r="AJ220" i="4"/>
  <c r="AK220" i="4" s="1"/>
  <c r="AF221" i="4" s="1"/>
  <c r="AG95" i="4"/>
  <c r="AL94" i="4"/>
  <c r="AI95" i="4"/>
  <c r="AH95" i="4"/>
  <c r="P88" i="4"/>
  <c r="Q88" i="4"/>
  <c r="T87" i="4"/>
  <c r="O88" i="4"/>
  <c r="F64" i="3"/>
  <c r="G64" i="3" s="1"/>
  <c r="B65" i="3" s="1"/>
  <c r="AJ674" i="4" l="1"/>
  <c r="AK674" i="4" s="1"/>
  <c r="AF675" i="4" s="1"/>
  <c r="AI482" i="4"/>
  <c r="AG482" i="4"/>
  <c r="AH482" i="4"/>
  <c r="AJ482" i="4" s="1"/>
  <c r="AK482" i="4" s="1"/>
  <c r="AF483" i="4" s="1"/>
  <c r="AL481" i="4"/>
  <c r="AL220" i="4"/>
  <c r="AG221" i="4"/>
  <c r="AK221" i="4" s="1"/>
  <c r="AF222" i="4" s="1"/>
  <c r="AI221" i="4"/>
  <c r="AH221" i="4"/>
  <c r="AJ221" i="4" s="1"/>
  <c r="AJ95" i="4"/>
  <c r="AK95" i="4" s="1"/>
  <c r="AF96" i="4" s="1"/>
  <c r="R88" i="4"/>
  <c r="S88" i="4" s="1"/>
  <c r="N89" i="4" s="1"/>
  <c r="E65" i="3"/>
  <c r="C65" i="3"/>
  <c r="D65" i="3"/>
  <c r="H64" i="3"/>
  <c r="AG675" i="4" l="1"/>
  <c r="AH675" i="4"/>
  <c r="AI675" i="4"/>
  <c r="AL674" i="4"/>
  <c r="AI483" i="4"/>
  <c r="AH483" i="4"/>
  <c r="AJ483" i="4" s="1"/>
  <c r="AL482" i="4"/>
  <c r="AG483" i="4"/>
  <c r="AK483" i="4" s="1"/>
  <c r="AF484" i="4" s="1"/>
  <c r="AI222" i="4"/>
  <c r="AG222" i="4"/>
  <c r="AL221" i="4"/>
  <c r="AH222" i="4"/>
  <c r="AG96" i="4"/>
  <c r="AK96" i="4" s="1"/>
  <c r="AF97" i="4" s="1"/>
  <c r="AH96" i="4"/>
  <c r="AJ96" i="4" s="1"/>
  <c r="AL95" i="4"/>
  <c r="AI96" i="4"/>
  <c r="P89" i="4"/>
  <c r="Q89" i="4"/>
  <c r="O89" i="4"/>
  <c r="T88" i="4"/>
  <c r="F65" i="3"/>
  <c r="G65" i="3" s="1"/>
  <c r="B66" i="3" s="1"/>
  <c r="AJ675" i="4" l="1"/>
  <c r="AK675" i="4" s="1"/>
  <c r="AF676" i="4" s="1"/>
  <c r="AG484" i="4"/>
  <c r="AH484" i="4"/>
  <c r="AL483" i="4"/>
  <c r="AI484" i="4"/>
  <c r="AJ222" i="4"/>
  <c r="AK222" i="4" s="1"/>
  <c r="AF223" i="4" s="1"/>
  <c r="AH97" i="4"/>
  <c r="AL96" i="4"/>
  <c r="AI97" i="4"/>
  <c r="AG97" i="4"/>
  <c r="R89" i="4"/>
  <c r="S89" i="4" s="1"/>
  <c r="N90" i="4" s="1"/>
  <c r="C66" i="3"/>
  <c r="E66" i="3"/>
  <c r="D66" i="3"/>
  <c r="H65" i="3"/>
  <c r="AG676" i="4" l="1"/>
  <c r="AH676" i="4"/>
  <c r="AI676" i="4"/>
  <c r="AL675" i="4"/>
  <c r="AJ484" i="4"/>
  <c r="AK484" i="4" s="1"/>
  <c r="AF485" i="4" s="1"/>
  <c r="AH223" i="4"/>
  <c r="AG223" i="4"/>
  <c r="AI223" i="4"/>
  <c r="AL222" i="4"/>
  <c r="AJ97" i="4"/>
  <c r="AK97" i="4" s="1"/>
  <c r="AF98" i="4" s="1"/>
  <c r="P90" i="4"/>
  <c r="T89" i="4"/>
  <c r="O90" i="4"/>
  <c r="Q90" i="4"/>
  <c r="R90" i="4" s="1"/>
  <c r="S90" i="4" s="1"/>
  <c r="N91" i="4" s="1"/>
  <c r="F66" i="3"/>
  <c r="G66" i="3"/>
  <c r="B67" i="3" s="1"/>
  <c r="AJ676" i="4" l="1"/>
  <c r="AK676" i="4" s="1"/>
  <c r="AF677" i="4" s="1"/>
  <c r="AG485" i="4"/>
  <c r="AK485" i="4" s="1"/>
  <c r="AF486" i="4" s="1"/>
  <c r="AI485" i="4"/>
  <c r="AH485" i="4"/>
  <c r="AJ485" i="4" s="1"/>
  <c r="AL484" i="4"/>
  <c r="AJ223" i="4"/>
  <c r="AK223" i="4" s="1"/>
  <c r="AF224" i="4" s="1"/>
  <c r="AI98" i="4"/>
  <c r="AL97" i="4"/>
  <c r="AG98" i="4"/>
  <c r="AH98" i="4"/>
  <c r="P91" i="4"/>
  <c r="Q91" i="4"/>
  <c r="T90" i="4"/>
  <c r="O91" i="4"/>
  <c r="H66" i="3"/>
  <c r="E67" i="3"/>
  <c r="D67" i="3"/>
  <c r="C67" i="3"/>
  <c r="AG677" i="4" l="1"/>
  <c r="AK677" i="4" s="1"/>
  <c r="AF678" i="4" s="1"/>
  <c r="AH677" i="4"/>
  <c r="AJ677" i="4" s="1"/>
  <c r="AI677" i="4"/>
  <c r="AL676" i="4"/>
  <c r="AH486" i="4"/>
  <c r="AL485" i="4"/>
  <c r="AG486" i="4"/>
  <c r="AI486" i="4"/>
  <c r="AI224" i="4"/>
  <c r="AL223" i="4"/>
  <c r="AG224" i="4"/>
  <c r="AK224" i="4" s="1"/>
  <c r="AF225" i="4" s="1"/>
  <c r="AH224" i="4"/>
  <c r="AJ224" i="4" s="1"/>
  <c r="AJ98" i="4"/>
  <c r="AK98" i="4" s="1"/>
  <c r="AF99" i="4" s="1"/>
  <c r="R91" i="4"/>
  <c r="S91" i="4"/>
  <c r="N92" i="4" s="1"/>
  <c r="F67" i="3"/>
  <c r="G67" i="3" s="1"/>
  <c r="B68" i="3" s="1"/>
  <c r="AL677" i="4" l="1"/>
  <c r="AI678" i="4"/>
  <c r="AH678" i="4"/>
  <c r="AJ678" i="4" s="1"/>
  <c r="AG678" i="4"/>
  <c r="AK678" i="4" s="1"/>
  <c r="AF679" i="4" s="1"/>
  <c r="AJ486" i="4"/>
  <c r="AK486" i="4" s="1"/>
  <c r="AF487" i="4" s="1"/>
  <c r="AI225" i="4"/>
  <c r="AL224" i="4"/>
  <c r="AH225" i="4"/>
  <c r="AJ225" i="4" s="1"/>
  <c r="AG225" i="4"/>
  <c r="AK225" i="4" s="1"/>
  <c r="AF226" i="4" s="1"/>
  <c r="AG99" i="4"/>
  <c r="AK99" i="4" s="1"/>
  <c r="AF100" i="4" s="1"/>
  <c r="AI99" i="4"/>
  <c r="AL98" i="4"/>
  <c r="AH99" i="4"/>
  <c r="AJ99" i="4" s="1"/>
  <c r="P92" i="4"/>
  <c r="Q92" i="4"/>
  <c r="O92" i="4"/>
  <c r="T91" i="4"/>
  <c r="C68" i="3"/>
  <c r="E68" i="3"/>
  <c r="H67" i="3"/>
  <c r="D68" i="3"/>
  <c r="F68" i="3" s="1"/>
  <c r="AL678" i="4" l="1"/>
  <c r="AI679" i="4"/>
  <c r="AH679" i="4"/>
  <c r="AJ679" i="4" s="1"/>
  <c r="AG679" i="4"/>
  <c r="AK679" i="4" s="1"/>
  <c r="AF680" i="4" s="1"/>
  <c r="AG487" i="4"/>
  <c r="AK487" i="4" s="1"/>
  <c r="AF488" i="4" s="1"/>
  <c r="AI487" i="4"/>
  <c r="AH487" i="4"/>
  <c r="AJ487" i="4" s="1"/>
  <c r="AL486" i="4"/>
  <c r="AG226" i="4"/>
  <c r="AH226" i="4"/>
  <c r="AL225" i="4"/>
  <c r="AI226" i="4"/>
  <c r="AI100" i="4"/>
  <c r="AL99" i="4"/>
  <c r="AG100" i="4"/>
  <c r="AH100" i="4"/>
  <c r="AJ100" i="4" s="1"/>
  <c r="AK100" i="4" s="1"/>
  <c r="AF101" i="4" s="1"/>
  <c r="R92" i="4"/>
  <c r="S92" i="4" s="1"/>
  <c r="N93" i="4" s="1"/>
  <c r="G68" i="3"/>
  <c r="B69" i="3" s="1"/>
  <c r="AL679" i="4" l="1"/>
  <c r="AI680" i="4"/>
  <c r="AH680" i="4"/>
  <c r="AJ680" i="4" s="1"/>
  <c r="AG680" i="4"/>
  <c r="AK680" i="4" s="1"/>
  <c r="AF681" i="4" s="1"/>
  <c r="AG488" i="4"/>
  <c r="AK488" i="4" s="1"/>
  <c r="AF489" i="4" s="1"/>
  <c r="AI488" i="4"/>
  <c r="AL487" i="4"/>
  <c r="AH488" i="4"/>
  <c r="AJ488" i="4" s="1"/>
  <c r="AJ226" i="4"/>
  <c r="AK226" i="4" s="1"/>
  <c r="AF227" i="4" s="1"/>
  <c r="AI101" i="4"/>
  <c r="AL100" i="4"/>
  <c r="AH101" i="4"/>
  <c r="AJ101" i="4" s="1"/>
  <c r="AG101" i="4"/>
  <c r="AK101" i="4" s="1"/>
  <c r="AF102" i="4" s="1"/>
  <c r="P93" i="4"/>
  <c r="Q93" i="4"/>
  <c r="T92" i="4"/>
  <c r="O93" i="4"/>
  <c r="H68" i="3"/>
  <c r="C69" i="3"/>
  <c r="D69" i="3"/>
  <c r="E69" i="3"/>
  <c r="AL680" i="4" l="1"/>
  <c r="AI681" i="4"/>
  <c r="AH681" i="4"/>
  <c r="AJ681" i="4" s="1"/>
  <c r="AG681" i="4"/>
  <c r="AK681" i="4" s="1"/>
  <c r="AF682" i="4" s="1"/>
  <c r="AI489" i="4"/>
  <c r="AG489" i="4"/>
  <c r="AL488" i="4"/>
  <c r="AH489" i="4"/>
  <c r="AI227" i="4"/>
  <c r="AL226" i="4"/>
  <c r="AG227" i="4"/>
  <c r="AH227" i="4"/>
  <c r="AH102" i="4"/>
  <c r="AI102" i="4"/>
  <c r="AL101" i="4"/>
  <c r="AG102" i="4"/>
  <c r="R93" i="4"/>
  <c r="S93" i="4" s="1"/>
  <c r="N94" i="4" s="1"/>
  <c r="F69" i="3"/>
  <c r="G69" i="3" s="1"/>
  <c r="B70" i="3" s="1"/>
  <c r="AL681" i="4" l="1"/>
  <c r="AI682" i="4"/>
  <c r="AH682" i="4"/>
  <c r="AG682" i="4"/>
  <c r="AJ489" i="4"/>
  <c r="AK489" i="4" s="1"/>
  <c r="AF490" i="4" s="1"/>
  <c r="AJ227" i="4"/>
  <c r="AK227" i="4" s="1"/>
  <c r="AF228" i="4" s="1"/>
  <c r="AJ102" i="4"/>
  <c r="AK102" i="4" s="1"/>
  <c r="AF103" i="4" s="1"/>
  <c r="T93" i="4"/>
  <c r="O94" i="4"/>
  <c r="P94" i="4"/>
  <c r="Q94" i="4"/>
  <c r="H69" i="3"/>
  <c r="C70" i="3"/>
  <c r="D70" i="3"/>
  <c r="E70" i="3"/>
  <c r="AJ682" i="4" l="1"/>
  <c r="AK682" i="4" s="1"/>
  <c r="AF683" i="4" s="1"/>
  <c r="AG490" i="4"/>
  <c r="AL489" i="4"/>
  <c r="AH490" i="4"/>
  <c r="AI490" i="4"/>
  <c r="AI228" i="4"/>
  <c r="AL227" i="4"/>
  <c r="AH228" i="4"/>
  <c r="AJ228" i="4" s="1"/>
  <c r="AG228" i="4"/>
  <c r="AK228" i="4" s="1"/>
  <c r="AF229" i="4" s="1"/>
  <c r="AI103" i="4"/>
  <c r="AL102" i="4"/>
  <c r="AH103" i="4"/>
  <c r="AJ103" i="4" s="1"/>
  <c r="AG103" i="4"/>
  <c r="AK103" i="4" s="1"/>
  <c r="AF104" i="4" s="1"/>
  <c r="R94" i="4"/>
  <c r="S94" i="4" s="1"/>
  <c r="N95" i="4" s="1"/>
  <c r="F70" i="3"/>
  <c r="G70" i="3" s="1"/>
  <c r="B71" i="3" s="1"/>
  <c r="E71" i="3" s="1"/>
  <c r="AG683" i="4" l="1"/>
  <c r="AH683" i="4"/>
  <c r="AI683" i="4"/>
  <c r="AL682" i="4"/>
  <c r="AJ490" i="4"/>
  <c r="AK490" i="4" s="1"/>
  <c r="AF491" i="4" s="1"/>
  <c r="AH229" i="4"/>
  <c r="AJ229" i="4" s="1"/>
  <c r="AK229" i="4" s="1"/>
  <c r="AF230" i="4" s="1"/>
  <c r="AL228" i="4"/>
  <c r="AI229" i="4"/>
  <c r="AG229" i="4"/>
  <c r="AH104" i="4"/>
  <c r="AG104" i="4"/>
  <c r="AI104" i="4"/>
  <c r="AL103" i="4"/>
  <c r="Q95" i="4"/>
  <c r="P95" i="4"/>
  <c r="R95" i="4" s="1"/>
  <c r="S95" i="4" s="1"/>
  <c r="N96" i="4" s="1"/>
  <c r="O95" i="4"/>
  <c r="T94" i="4"/>
  <c r="D71" i="3"/>
  <c r="F71" i="3" s="1"/>
  <c r="H70" i="3"/>
  <c r="C71" i="3"/>
  <c r="AJ683" i="4" l="1"/>
  <c r="AK683" i="4" s="1"/>
  <c r="AF684" i="4" s="1"/>
  <c r="AL490" i="4"/>
  <c r="AI491" i="4"/>
  <c r="AG491" i="4"/>
  <c r="AH491" i="4"/>
  <c r="AJ491" i="4" s="1"/>
  <c r="AK491" i="4" s="1"/>
  <c r="AF492" i="4" s="1"/>
  <c r="AI230" i="4"/>
  <c r="AG230" i="4"/>
  <c r="AH230" i="4"/>
  <c r="AJ230" i="4" s="1"/>
  <c r="AL229" i="4"/>
  <c r="AK230" i="4"/>
  <c r="AF231" i="4" s="1"/>
  <c r="AJ104" i="4"/>
  <c r="AK104" i="4" s="1"/>
  <c r="AF105" i="4" s="1"/>
  <c r="P96" i="4"/>
  <c r="Q96" i="4"/>
  <c r="T95" i="4"/>
  <c r="O96" i="4"/>
  <c r="G71" i="3"/>
  <c r="B72" i="3" s="1"/>
  <c r="D72" i="3" s="1"/>
  <c r="H71" i="3"/>
  <c r="C72" i="3"/>
  <c r="E72" i="3"/>
  <c r="F72" i="3" s="1"/>
  <c r="AG684" i="4" l="1"/>
  <c r="AH684" i="4"/>
  <c r="AI684" i="4"/>
  <c r="AL683" i="4"/>
  <c r="AH492" i="4"/>
  <c r="AG492" i="4"/>
  <c r="AI492" i="4"/>
  <c r="AL491" i="4"/>
  <c r="AI231" i="4"/>
  <c r="AL230" i="4"/>
  <c r="AG231" i="4"/>
  <c r="AK231" i="4" s="1"/>
  <c r="AF232" i="4" s="1"/>
  <c r="AH231" i="4"/>
  <c r="AJ231" i="4" s="1"/>
  <c r="AI105" i="4"/>
  <c r="AH105" i="4"/>
  <c r="AJ105" i="4" s="1"/>
  <c r="AK105" i="4" s="1"/>
  <c r="AF106" i="4" s="1"/>
  <c r="AG105" i="4"/>
  <c r="AL104" i="4"/>
  <c r="R96" i="4"/>
  <c r="S96" i="4" s="1"/>
  <c r="N97" i="4" s="1"/>
  <c r="G72" i="3"/>
  <c r="B73" i="3" s="1"/>
  <c r="AJ684" i="4" l="1"/>
  <c r="AK684" i="4" s="1"/>
  <c r="AF685" i="4" s="1"/>
  <c r="AJ492" i="4"/>
  <c r="AK492" i="4" s="1"/>
  <c r="AF493" i="4" s="1"/>
  <c r="AG232" i="4"/>
  <c r="AH232" i="4"/>
  <c r="AL231" i="4"/>
  <c r="AI232" i="4"/>
  <c r="AG106" i="4"/>
  <c r="AL105" i="4"/>
  <c r="AK106" i="4"/>
  <c r="AF107" i="4" s="1"/>
  <c r="AI106" i="4"/>
  <c r="AH106" i="4"/>
  <c r="AJ106" i="4" s="1"/>
  <c r="P97" i="4"/>
  <c r="Q97" i="4"/>
  <c r="O97" i="4"/>
  <c r="T96" i="4"/>
  <c r="C73" i="3"/>
  <c r="E73" i="3"/>
  <c r="D73" i="3"/>
  <c r="H72" i="3"/>
  <c r="AG685" i="4" l="1"/>
  <c r="AH685" i="4"/>
  <c r="AI685" i="4"/>
  <c r="AL684" i="4"/>
  <c r="AH493" i="4"/>
  <c r="AL492" i="4"/>
  <c r="AG493" i="4"/>
  <c r="AI493" i="4"/>
  <c r="AJ232" i="4"/>
  <c r="AK232" i="4" s="1"/>
  <c r="AF233" i="4" s="1"/>
  <c r="AH107" i="4"/>
  <c r="AI107" i="4"/>
  <c r="AG107" i="4"/>
  <c r="AL106" i="4"/>
  <c r="R97" i="4"/>
  <c r="S97" i="4" s="1"/>
  <c r="N98" i="4" s="1"/>
  <c r="F73" i="3"/>
  <c r="G73" i="3"/>
  <c r="B74" i="3" s="1"/>
  <c r="AJ685" i="4" l="1"/>
  <c r="AK685" i="4" s="1"/>
  <c r="AF686" i="4" s="1"/>
  <c r="AJ493" i="4"/>
  <c r="AK493" i="4" s="1"/>
  <c r="AF494" i="4" s="1"/>
  <c r="AI233" i="4"/>
  <c r="AH233" i="4"/>
  <c r="AJ233" i="4" s="1"/>
  <c r="AL232" i="4"/>
  <c r="AG233" i="4"/>
  <c r="AK233" i="4" s="1"/>
  <c r="AF234" i="4" s="1"/>
  <c r="AJ107" i="4"/>
  <c r="AK107" i="4" s="1"/>
  <c r="AF108" i="4" s="1"/>
  <c r="P98" i="4"/>
  <c r="Q98" i="4"/>
  <c r="O98" i="4"/>
  <c r="T97" i="4"/>
  <c r="C74" i="3"/>
  <c r="H73" i="3"/>
  <c r="E74" i="3"/>
  <c r="D74" i="3"/>
  <c r="AG686" i="4" l="1"/>
  <c r="AH686" i="4"/>
  <c r="AI686" i="4"/>
  <c r="AL685" i="4"/>
  <c r="AH494" i="4"/>
  <c r="AL493" i="4"/>
  <c r="AG494" i="4"/>
  <c r="AI494" i="4"/>
  <c r="AH234" i="4"/>
  <c r="AL233" i="4"/>
  <c r="AI234" i="4"/>
  <c r="AG234" i="4"/>
  <c r="AH108" i="4"/>
  <c r="AG108" i="4"/>
  <c r="AL107" i="4"/>
  <c r="AI108" i="4"/>
  <c r="R98" i="4"/>
  <c r="S98" i="4" s="1"/>
  <c r="N99" i="4" s="1"/>
  <c r="O99" i="4" s="1"/>
  <c r="F74" i="3"/>
  <c r="G74" i="3"/>
  <c r="B75" i="3" s="1"/>
  <c r="AJ686" i="4" l="1"/>
  <c r="AK686" i="4" s="1"/>
  <c r="AF687" i="4" s="1"/>
  <c r="AJ494" i="4"/>
  <c r="AK494" i="4" s="1"/>
  <c r="AF495" i="4" s="1"/>
  <c r="AJ234" i="4"/>
  <c r="AK234" i="4" s="1"/>
  <c r="AF235" i="4" s="1"/>
  <c r="AJ108" i="4"/>
  <c r="AK108" i="4" s="1"/>
  <c r="AF109" i="4" s="1"/>
  <c r="T98" i="4"/>
  <c r="P99" i="4"/>
  <c r="Q99" i="4"/>
  <c r="D75" i="3"/>
  <c r="H74" i="3"/>
  <c r="E75" i="3"/>
  <c r="C75" i="3"/>
  <c r="AG687" i="4" l="1"/>
  <c r="AH687" i="4"/>
  <c r="AI687" i="4"/>
  <c r="AL686" i="4"/>
  <c r="AH495" i="4"/>
  <c r="AL494" i="4"/>
  <c r="AG495" i="4"/>
  <c r="AI495" i="4"/>
  <c r="AG235" i="4"/>
  <c r="AK235" i="4" s="1"/>
  <c r="AF236" i="4" s="1"/>
  <c r="AI235" i="4"/>
  <c r="AL234" i="4"/>
  <c r="AH235" i="4"/>
  <c r="AJ235" i="4" s="1"/>
  <c r="AG109" i="4"/>
  <c r="AK109" i="4" s="1"/>
  <c r="AF110" i="4" s="1"/>
  <c r="AI109" i="4"/>
  <c r="AL108" i="4"/>
  <c r="AH109" i="4"/>
  <c r="AJ109" i="4" s="1"/>
  <c r="R99" i="4"/>
  <c r="S99" i="4" s="1"/>
  <c r="N100" i="4" s="1"/>
  <c r="F75" i="3"/>
  <c r="G75" i="3" s="1"/>
  <c r="B76" i="3" s="1"/>
  <c r="AJ687" i="4" l="1"/>
  <c r="AK687" i="4" s="1"/>
  <c r="AF688" i="4" s="1"/>
  <c r="AJ495" i="4"/>
  <c r="AK495" i="4" s="1"/>
  <c r="AF496" i="4" s="1"/>
  <c r="AH236" i="4"/>
  <c r="AJ236" i="4" s="1"/>
  <c r="AK236" i="4" s="1"/>
  <c r="AF237" i="4" s="1"/>
  <c r="AL235" i="4"/>
  <c r="AI236" i="4"/>
  <c r="AG236" i="4"/>
  <c r="AG110" i="4"/>
  <c r="AL109" i="4"/>
  <c r="AH110" i="4"/>
  <c r="AI110" i="4"/>
  <c r="Q100" i="4"/>
  <c r="T99" i="4"/>
  <c r="P100" i="4"/>
  <c r="O100" i="4"/>
  <c r="E76" i="3"/>
  <c r="C76" i="3"/>
  <c r="D76" i="3"/>
  <c r="H75" i="3"/>
  <c r="AG688" i="4" l="1"/>
  <c r="AI688" i="4"/>
  <c r="AH688" i="4"/>
  <c r="AJ688" i="4" s="1"/>
  <c r="AK688" i="4"/>
  <c r="AF689" i="4" s="1"/>
  <c r="AL687" i="4"/>
  <c r="AL495" i="4"/>
  <c r="AH496" i="4"/>
  <c r="AJ496" i="4" s="1"/>
  <c r="AI496" i="4"/>
  <c r="AG496" i="4"/>
  <c r="AK496" i="4" s="1"/>
  <c r="AF497" i="4" s="1"/>
  <c r="AH237" i="4"/>
  <c r="AJ237" i="4" s="1"/>
  <c r="AK237" i="4" s="1"/>
  <c r="AF238" i="4" s="1"/>
  <c r="AI237" i="4"/>
  <c r="AL236" i="4"/>
  <c r="AG237" i="4"/>
  <c r="AJ110" i="4"/>
  <c r="AK110" i="4" s="1"/>
  <c r="AF111" i="4" s="1"/>
  <c r="R100" i="4"/>
  <c r="S100" i="4" s="1"/>
  <c r="N101" i="4" s="1"/>
  <c r="F76" i="3"/>
  <c r="G76" i="3" s="1"/>
  <c r="B77" i="3" s="1"/>
  <c r="E77" i="3"/>
  <c r="D77" i="3"/>
  <c r="F77" i="3" s="1"/>
  <c r="C77" i="3"/>
  <c r="H76" i="3"/>
  <c r="AG689" i="4" l="1"/>
  <c r="AK689" i="4" s="1"/>
  <c r="AF690" i="4" s="1"/>
  <c r="AH689" i="4"/>
  <c r="AJ689" i="4" s="1"/>
  <c r="AL688" i="4"/>
  <c r="AI689" i="4"/>
  <c r="AI497" i="4"/>
  <c r="AG497" i="4"/>
  <c r="AK497" i="4" s="1"/>
  <c r="AF498" i="4" s="1"/>
  <c r="AL496" i="4"/>
  <c r="AH497" i="4"/>
  <c r="AJ497" i="4" s="1"/>
  <c r="AL237" i="4"/>
  <c r="AG238" i="4"/>
  <c r="AH238" i="4"/>
  <c r="AI238" i="4"/>
  <c r="AI111" i="4"/>
  <c r="AL110" i="4"/>
  <c r="AG111" i="4"/>
  <c r="AH111" i="4"/>
  <c r="AJ111" i="4" s="1"/>
  <c r="AK111" i="4" s="1"/>
  <c r="AF112" i="4" s="1"/>
  <c r="Q101" i="4"/>
  <c r="P101" i="4"/>
  <c r="R101" i="4" s="1"/>
  <c r="T100" i="4"/>
  <c r="O101" i="4"/>
  <c r="G77" i="3"/>
  <c r="B78" i="3" s="1"/>
  <c r="AI690" i="4" l="1"/>
  <c r="AL689" i="4"/>
  <c r="AG690" i="4"/>
  <c r="AH690" i="4"/>
  <c r="AG498" i="4"/>
  <c r="AK498" i="4" s="1"/>
  <c r="AF499" i="4" s="1"/>
  <c r="AI498" i="4"/>
  <c r="AL497" i="4"/>
  <c r="AH498" i="4"/>
  <c r="AJ498" i="4" s="1"/>
  <c r="AJ238" i="4"/>
  <c r="AK238" i="4" s="1"/>
  <c r="AF239" i="4" s="1"/>
  <c r="AG112" i="4"/>
  <c r="AI112" i="4"/>
  <c r="AL111" i="4"/>
  <c r="AH112" i="4"/>
  <c r="AJ112" i="4" s="1"/>
  <c r="AK112" i="4" s="1"/>
  <c r="AF113" i="4" s="1"/>
  <c r="S101" i="4"/>
  <c r="N102" i="4" s="1"/>
  <c r="P102" i="4"/>
  <c r="Q102" i="4"/>
  <c r="C78" i="3"/>
  <c r="D78" i="3"/>
  <c r="E78" i="3"/>
  <c r="H77" i="3"/>
  <c r="AJ690" i="4" l="1"/>
  <c r="AK690" i="4" s="1"/>
  <c r="AF691" i="4" s="1"/>
  <c r="AG499" i="4"/>
  <c r="AI499" i="4"/>
  <c r="AL498" i="4"/>
  <c r="AH499" i="4"/>
  <c r="AG239" i="4"/>
  <c r="AH239" i="4"/>
  <c r="AI239" i="4"/>
  <c r="AL238" i="4"/>
  <c r="AL112" i="4"/>
  <c r="AH113" i="4"/>
  <c r="AI113" i="4"/>
  <c r="AG113" i="4"/>
  <c r="T101" i="4"/>
  <c r="O102" i="4"/>
  <c r="R102" i="4"/>
  <c r="S102" i="4" s="1"/>
  <c r="N103" i="4" s="1"/>
  <c r="F78" i="3"/>
  <c r="G78" i="3" s="1"/>
  <c r="B79" i="3" s="1"/>
  <c r="AI691" i="4" l="1"/>
  <c r="AG691" i="4"/>
  <c r="AK691" i="4" s="1"/>
  <c r="AF692" i="4" s="1"/>
  <c r="AL690" i="4"/>
  <c r="AH691" i="4"/>
  <c r="AJ691" i="4" s="1"/>
  <c r="AJ499" i="4"/>
  <c r="AK499" i="4" s="1"/>
  <c r="AF500" i="4" s="1"/>
  <c r="AJ239" i="4"/>
  <c r="AK239" i="4" s="1"/>
  <c r="AF240" i="4" s="1"/>
  <c r="AJ113" i="4"/>
  <c r="AK113" i="4" s="1"/>
  <c r="AF114" i="4" s="1"/>
  <c r="T102" i="4"/>
  <c r="O103" i="4"/>
  <c r="P103" i="4"/>
  <c r="Q103" i="4"/>
  <c r="H78" i="3"/>
  <c r="D79" i="3"/>
  <c r="C79" i="3"/>
  <c r="E79" i="3"/>
  <c r="AH692" i="4" l="1"/>
  <c r="AL691" i="4"/>
  <c r="AI692" i="4"/>
  <c r="AG692" i="4"/>
  <c r="AH500" i="4"/>
  <c r="AL499" i="4"/>
  <c r="AG500" i="4"/>
  <c r="AI500" i="4"/>
  <c r="AG240" i="4"/>
  <c r="AK240" i="4" s="1"/>
  <c r="AF241" i="4" s="1"/>
  <c r="AH240" i="4"/>
  <c r="AJ240" i="4" s="1"/>
  <c r="AI240" i="4"/>
  <c r="AL239" i="4"/>
  <c r="AH114" i="4"/>
  <c r="AL113" i="4"/>
  <c r="AG114" i="4"/>
  <c r="AI114" i="4"/>
  <c r="R103" i="4"/>
  <c r="S103" i="4" s="1"/>
  <c r="N104" i="4" s="1"/>
  <c r="F79" i="3"/>
  <c r="G79" i="3" s="1"/>
  <c r="B80" i="3" s="1"/>
  <c r="AJ692" i="4" l="1"/>
  <c r="AK692" i="4" s="1"/>
  <c r="AF693" i="4" s="1"/>
  <c r="AJ500" i="4"/>
  <c r="AK500" i="4" s="1"/>
  <c r="AF501" i="4" s="1"/>
  <c r="AL240" i="4"/>
  <c r="AI241" i="4"/>
  <c r="AH241" i="4"/>
  <c r="AG241" i="4"/>
  <c r="AJ114" i="4"/>
  <c r="AK114" i="4" s="1"/>
  <c r="AF115" i="4" s="1"/>
  <c r="Q104" i="4"/>
  <c r="T103" i="4"/>
  <c r="P104" i="4"/>
  <c r="O104" i="4"/>
  <c r="D80" i="3"/>
  <c r="H79" i="3"/>
  <c r="C80" i="3"/>
  <c r="E80" i="3"/>
  <c r="AL692" i="4" l="1"/>
  <c r="AI693" i="4"/>
  <c r="AG693" i="4"/>
  <c r="AK693" i="4" s="1"/>
  <c r="AF694" i="4" s="1"/>
  <c r="AH693" i="4"/>
  <c r="AJ693" i="4" s="1"/>
  <c r="AI501" i="4"/>
  <c r="AH501" i="4"/>
  <c r="AJ501" i="4" s="1"/>
  <c r="AL500" i="4"/>
  <c r="AG501" i="4"/>
  <c r="AK501" i="4" s="1"/>
  <c r="AF502" i="4" s="1"/>
  <c r="AJ241" i="4"/>
  <c r="AK241" i="4" s="1"/>
  <c r="AF242" i="4" s="1"/>
  <c r="AI115" i="4"/>
  <c r="AG115" i="4"/>
  <c r="AH115" i="4"/>
  <c r="AL114" i="4"/>
  <c r="R104" i="4"/>
  <c r="S104" i="4" s="1"/>
  <c r="N105" i="4" s="1"/>
  <c r="F80" i="3"/>
  <c r="G80" i="3" s="1"/>
  <c r="B81" i="3" s="1"/>
  <c r="AI694" i="4" l="1"/>
  <c r="AG694" i="4"/>
  <c r="AL693" i="4"/>
  <c r="AH694" i="4"/>
  <c r="AJ694" i="4" s="1"/>
  <c r="AK694" i="4" s="1"/>
  <c r="AF695" i="4" s="1"/>
  <c r="AL501" i="4"/>
  <c r="AG502" i="4"/>
  <c r="AH502" i="4"/>
  <c r="AI502" i="4"/>
  <c r="AG242" i="4"/>
  <c r="AH242" i="4"/>
  <c r="AI242" i="4"/>
  <c r="AL241" i="4"/>
  <c r="AJ115" i="4"/>
  <c r="AK115" i="4" s="1"/>
  <c r="AF116" i="4" s="1"/>
  <c r="T104" i="4"/>
  <c r="Q105" i="4"/>
  <c r="O105" i="4"/>
  <c r="P105" i="4"/>
  <c r="E81" i="3"/>
  <c r="D81" i="3"/>
  <c r="F81" i="3" s="1"/>
  <c r="C81" i="3"/>
  <c r="H80" i="3"/>
  <c r="AH695" i="4" l="1"/>
  <c r="AL694" i="4"/>
  <c r="AI695" i="4"/>
  <c r="AG695" i="4"/>
  <c r="AJ502" i="4"/>
  <c r="AK502" i="4" s="1"/>
  <c r="AF503" i="4" s="1"/>
  <c r="AJ242" i="4"/>
  <c r="AK242" i="4" s="1"/>
  <c r="AF243" i="4" s="1"/>
  <c r="AH116" i="4"/>
  <c r="AI116" i="4"/>
  <c r="AL115" i="4"/>
  <c r="AG116" i="4"/>
  <c r="R105" i="4"/>
  <c r="S105" i="4" s="1"/>
  <c r="N106" i="4" s="1"/>
  <c r="G81" i="3"/>
  <c r="B82" i="3" s="1"/>
  <c r="AJ695" i="4" l="1"/>
  <c r="AK695" i="4" s="1"/>
  <c r="AF696" i="4" s="1"/>
  <c r="AL502" i="4"/>
  <c r="AG503" i="4"/>
  <c r="AH503" i="4"/>
  <c r="AI503" i="4"/>
  <c r="AG243" i="4"/>
  <c r="AH243" i="4"/>
  <c r="AI243" i="4"/>
  <c r="AL242" i="4"/>
  <c r="AJ116" i="4"/>
  <c r="AK116" i="4" s="1"/>
  <c r="AF117" i="4" s="1"/>
  <c r="Q106" i="4"/>
  <c r="O106" i="4"/>
  <c r="T105" i="4"/>
  <c r="P106" i="4"/>
  <c r="D82" i="3"/>
  <c r="H81" i="3"/>
  <c r="C82" i="3"/>
  <c r="E82" i="3"/>
  <c r="AI696" i="4" l="1"/>
  <c r="AL695" i="4"/>
  <c r="AG696" i="4"/>
  <c r="AK696" i="4" s="1"/>
  <c r="AF697" i="4" s="1"/>
  <c r="AH696" i="4"/>
  <c r="AJ696" i="4" s="1"/>
  <c r="AJ503" i="4"/>
  <c r="AK503" i="4" s="1"/>
  <c r="AF504" i="4" s="1"/>
  <c r="AJ243" i="4"/>
  <c r="AK243" i="4" s="1"/>
  <c r="AF244" i="4" s="1"/>
  <c r="AI117" i="4"/>
  <c r="AL117" i="4"/>
  <c r="AL116" i="4"/>
  <c r="AG117" i="4"/>
  <c r="AK117" i="4" s="1"/>
  <c r="AH117" i="4"/>
  <c r="AJ117" i="4" s="1"/>
  <c r="R106" i="4"/>
  <c r="S106" i="4" s="1"/>
  <c r="N107" i="4" s="1"/>
  <c r="F82" i="3"/>
  <c r="G82" i="3" s="1"/>
  <c r="B83" i="3" s="1"/>
  <c r="AL696" i="4" l="1"/>
  <c r="AH697" i="4"/>
  <c r="AI697" i="4"/>
  <c r="AG697" i="4"/>
  <c r="AH504" i="4"/>
  <c r="AI504" i="4"/>
  <c r="AL503" i="4"/>
  <c r="AG504" i="4"/>
  <c r="AG244" i="4"/>
  <c r="AH244" i="4"/>
  <c r="AJ244" i="4" s="1"/>
  <c r="AK244" i="4" s="1"/>
  <c r="AF245" i="4" s="1"/>
  <c r="AI244" i="4"/>
  <c r="AL243" i="4"/>
  <c r="P107" i="4"/>
  <c r="R107" i="4" s="1"/>
  <c r="S107" i="4" s="1"/>
  <c r="N108" i="4" s="1"/>
  <c r="Q107" i="4"/>
  <c r="T106" i="4"/>
  <c r="O107" i="4"/>
  <c r="C83" i="3"/>
  <c r="H82" i="3"/>
  <c r="D83" i="3"/>
  <c r="E83" i="3"/>
  <c r="AJ697" i="4" l="1"/>
  <c r="AK697" i="4" s="1"/>
  <c r="AF698" i="4" s="1"/>
  <c r="AJ504" i="4"/>
  <c r="AK504" i="4" s="1"/>
  <c r="AF505" i="4" s="1"/>
  <c r="AI245" i="4"/>
  <c r="AG245" i="4"/>
  <c r="AH245" i="4"/>
  <c r="AJ245" i="4" s="1"/>
  <c r="AK245" i="4" s="1"/>
  <c r="AF246" i="4" s="1"/>
  <c r="AL244" i="4"/>
  <c r="P108" i="4"/>
  <c r="Q108" i="4"/>
  <c r="O108" i="4"/>
  <c r="T107" i="4"/>
  <c r="F83" i="3"/>
  <c r="G83" i="3" s="1"/>
  <c r="B84" i="3" s="1"/>
  <c r="AI698" i="4" l="1"/>
  <c r="AG698" i="4"/>
  <c r="AL697" i="4"/>
  <c r="AH698" i="4"/>
  <c r="AG505" i="4"/>
  <c r="AH505" i="4"/>
  <c r="AL504" i="4"/>
  <c r="AI505" i="4"/>
  <c r="AI246" i="4"/>
  <c r="AG246" i="4"/>
  <c r="AL245" i="4"/>
  <c r="AH246" i="4"/>
  <c r="AJ246" i="4" s="1"/>
  <c r="AK246" i="4" s="1"/>
  <c r="AF247" i="4" s="1"/>
  <c r="R108" i="4"/>
  <c r="S108" i="4" s="1"/>
  <c r="N109" i="4" s="1"/>
  <c r="E84" i="3"/>
  <c r="C84" i="3"/>
  <c r="D84" i="3"/>
  <c r="F84" i="3" s="1"/>
  <c r="H83" i="3"/>
  <c r="AJ698" i="4" l="1"/>
  <c r="AK698" i="4" s="1"/>
  <c r="AF699" i="4" s="1"/>
  <c r="AJ505" i="4"/>
  <c r="AK505" i="4" s="1"/>
  <c r="AF506" i="4" s="1"/>
  <c r="AH247" i="4"/>
  <c r="AL246" i="4"/>
  <c r="AI247" i="4"/>
  <c r="AG247" i="4"/>
  <c r="Q109" i="4"/>
  <c r="T108" i="4"/>
  <c r="P109" i="4"/>
  <c r="O109" i="4"/>
  <c r="G84" i="3"/>
  <c r="B85" i="3" s="1"/>
  <c r="AG699" i="4" l="1"/>
  <c r="AI699" i="4"/>
  <c r="AL698" i="4"/>
  <c r="AH699" i="4"/>
  <c r="AJ699" i="4" s="1"/>
  <c r="AK699" i="4" s="1"/>
  <c r="AF700" i="4" s="1"/>
  <c r="AL505" i="4"/>
  <c r="AG506" i="4"/>
  <c r="AH506" i="4"/>
  <c r="AI506" i="4"/>
  <c r="AJ247" i="4"/>
  <c r="AK247" i="4" s="1"/>
  <c r="AF248" i="4" s="1"/>
  <c r="R109" i="4"/>
  <c r="S109" i="4"/>
  <c r="N110" i="4" s="1"/>
  <c r="C85" i="3"/>
  <c r="D85" i="3"/>
  <c r="H84" i="3"/>
  <c r="E85" i="3"/>
  <c r="AL699" i="4" l="1"/>
  <c r="AH700" i="4"/>
  <c r="AJ700" i="4" s="1"/>
  <c r="AI700" i="4"/>
  <c r="AG700" i="4"/>
  <c r="AK700" i="4" s="1"/>
  <c r="AF701" i="4" s="1"/>
  <c r="AJ506" i="4"/>
  <c r="AK506" i="4" s="1"/>
  <c r="AF507" i="4" s="1"/>
  <c r="AH248" i="4"/>
  <c r="AL247" i="4"/>
  <c r="AI248" i="4"/>
  <c r="AG248" i="4"/>
  <c r="P110" i="4"/>
  <c r="Q110" i="4"/>
  <c r="O110" i="4"/>
  <c r="T109" i="4"/>
  <c r="F85" i="3"/>
  <c r="G85" i="3" s="1"/>
  <c r="B86" i="3" s="1"/>
  <c r="AG701" i="4" l="1"/>
  <c r="AL700" i="4"/>
  <c r="AH701" i="4"/>
  <c r="AI701" i="4"/>
  <c r="AI507" i="4"/>
  <c r="AG507" i="4"/>
  <c r="AK507" i="4" s="1"/>
  <c r="AF508" i="4" s="1"/>
  <c r="AH507" i="4"/>
  <c r="AJ507" i="4" s="1"/>
  <c r="AL506" i="4"/>
  <c r="AJ248" i="4"/>
  <c r="AK248" i="4" s="1"/>
  <c r="AF249" i="4" s="1"/>
  <c r="R110" i="4"/>
  <c r="S110" i="4" s="1"/>
  <c r="N111" i="4" s="1"/>
  <c r="C86" i="3"/>
  <c r="H85" i="3"/>
  <c r="D86" i="3"/>
  <c r="E86" i="3"/>
  <c r="AJ701" i="4" l="1"/>
  <c r="AK701" i="4" s="1"/>
  <c r="AF702" i="4" s="1"/>
  <c r="AI508" i="4"/>
  <c r="AL507" i="4"/>
  <c r="AG508" i="4"/>
  <c r="AH508" i="4"/>
  <c r="AJ508" i="4" s="1"/>
  <c r="AK508" i="4" s="1"/>
  <c r="AF509" i="4" s="1"/>
  <c r="AL248" i="4"/>
  <c r="AI249" i="4"/>
  <c r="AG249" i="4"/>
  <c r="AH249" i="4"/>
  <c r="AJ249" i="4" s="1"/>
  <c r="AK249" i="4" s="1"/>
  <c r="AF250" i="4" s="1"/>
  <c r="T110" i="4"/>
  <c r="P111" i="4"/>
  <c r="O111" i="4"/>
  <c r="Q111" i="4"/>
  <c r="F86" i="3"/>
  <c r="G86" i="3" s="1"/>
  <c r="B87" i="3" s="1"/>
  <c r="AH702" i="4" l="1"/>
  <c r="AL701" i="4"/>
  <c r="AG702" i="4"/>
  <c r="AI702" i="4"/>
  <c r="AI509" i="4"/>
  <c r="AH509" i="4"/>
  <c r="AJ509" i="4" s="1"/>
  <c r="AL508" i="4"/>
  <c r="AG509" i="4"/>
  <c r="AK509" i="4"/>
  <c r="AF510" i="4" s="1"/>
  <c r="AH250" i="4"/>
  <c r="AL249" i="4"/>
  <c r="AI250" i="4"/>
  <c r="AG250" i="4"/>
  <c r="R111" i="4"/>
  <c r="S111" i="4" s="1"/>
  <c r="N112" i="4" s="1"/>
  <c r="H86" i="3"/>
  <c r="D87" i="3"/>
  <c r="C87" i="3"/>
  <c r="E87" i="3"/>
  <c r="AJ702" i="4" l="1"/>
  <c r="AK702" i="4" s="1"/>
  <c r="AF703" i="4" s="1"/>
  <c r="AG510" i="4"/>
  <c r="AI510" i="4"/>
  <c r="AL509" i="4"/>
  <c r="AH510" i="4"/>
  <c r="AJ510" i="4" s="1"/>
  <c r="AK510" i="4" s="1"/>
  <c r="AF511" i="4" s="1"/>
  <c r="AJ250" i="4"/>
  <c r="AK250" i="4" s="1"/>
  <c r="AF251" i="4" s="1"/>
  <c r="P112" i="4"/>
  <c r="O112" i="4"/>
  <c r="T111" i="4"/>
  <c r="Q112" i="4"/>
  <c r="F87" i="3"/>
  <c r="G87" i="3" s="1"/>
  <c r="B88" i="3" s="1"/>
  <c r="AI703" i="4" l="1"/>
  <c r="AL702" i="4"/>
  <c r="AG703" i="4"/>
  <c r="AH703" i="4"/>
  <c r="AH511" i="4"/>
  <c r="AL510" i="4"/>
  <c r="AG511" i="4"/>
  <c r="AI511" i="4"/>
  <c r="AH251" i="4"/>
  <c r="AL250" i="4"/>
  <c r="AI251" i="4"/>
  <c r="AG251" i="4"/>
  <c r="R112" i="4"/>
  <c r="S112" i="4" s="1"/>
  <c r="N113" i="4" s="1"/>
  <c r="H87" i="3"/>
  <c r="D88" i="3"/>
  <c r="C88" i="3"/>
  <c r="E88" i="3"/>
  <c r="AJ703" i="4" l="1"/>
  <c r="AK703" i="4" s="1"/>
  <c r="AF704" i="4" s="1"/>
  <c r="AJ511" i="4"/>
  <c r="AK511" i="4" s="1"/>
  <c r="AF512" i="4" s="1"/>
  <c r="AJ251" i="4"/>
  <c r="AK251" i="4" s="1"/>
  <c r="AF252" i="4" s="1"/>
  <c r="Q113" i="4"/>
  <c r="T112" i="4"/>
  <c r="O113" i="4"/>
  <c r="P113" i="4"/>
  <c r="F88" i="3"/>
  <c r="G88" i="3" s="1"/>
  <c r="B89" i="3" s="1"/>
  <c r="AH704" i="4" l="1"/>
  <c r="AL703" i="4"/>
  <c r="AI704" i="4"/>
  <c r="AG704" i="4"/>
  <c r="AI512" i="4"/>
  <c r="AL511" i="4"/>
  <c r="AG512" i="4"/>
  <c r="AK512" i="4" s="1"/>
  <c r="AF513" i="4" s="1"/>
  <c r="AH512" i="4"/>
  <c r="AJ512" i="4" s="1"/>
  <c r="AH252" i="4"/>
  <c r="AG252" i="4"/>
  <c r="AL251" i="4"/>
  <c r="AI252" i="4"/>
  <c r="R113" i="4"/>
  <c r="S113" i="4" s="1"/>
  <c r="N114" i="4" s="1"/>
  <c r="H88" i="3"/>
  <c r="D89" i="3"/>
  <c r="E89" i="3"/>
  <c r="C89" i="3"/>
  <c r="AJ704" i="4" l="1"/>
  <c r="AK704" i="4" s="1"/>
  <c r="AF705" i="4" s="1"/>
  <c r="AH513" i="4"/>
  <c r="AL512" i="4"/>
  <c r="AG513" i="4"/>
  <c r="AI513" i="4"/>
  <c r="AJ252" i="4"/>
  <c r="AK252" i="4" s="1"/>
  <c r="AF253" i="4" s="1"/>
  <c r="Q114" i="4"/>
  <c r="R114" i="4" s="1"/>
  <c r="S114" i="4" s="1"/>
  <c r="N115" i="4" s="1"/>
  <c r="T113" i="4"/>
  <c r="P114" i="4"/>
  <c r="O114" i="4"/>
  <c r="F89" i="3"/>
  <c r="G89" i="3" s="1"/>
  <c r="B90" i="3" s="1"/>
  <c r="AG705" i="4" l="1"/>
  <c r="AI705" i="4"/>
  <c r="AL704" i="4"/>
  <c r="AH705" i="4"/>
  <c r="AJ705" i="4" s="1"/>
  <c r="AK705" i="4" s="1"/>
  <c r="AF706" i="4" s="1"/>
  <c r="AJ513" i="4"/>
  <c r="AK513" i="4" s="1"/>
  <c r="AF514" i="4" s="1"/>
  <c r="AI253" i="4"/>
  <c r="AG253" i="4"/>
  <c r="AH253" i="4"/>
  <c r="AJ253" i="4" s="1"/>
  <c r="AK253" i="4" s="1"/>
  <c r="AF254" i="4" s="1"/>
  <c r="AL252" i="4"/>
  <c r="Q115" i="4"/>
  <c r="P115" i="4"/>
  <c r="O115" i="4"/>
  <c r="T114" i="4"/>
  <c r="D90" i="3"/>
  <c r="H89" i="3"/>
  <c r="E90" i="3"/>
  <c r="C90" i="3"/>
  <c r="AG706" i="4" l="1"/>
  <c r="AH706" i="4"/>
  <c r="AL705" i="4"/>
  <c r="AI706" i="4"/>
  <c r="AI514" i="4"/>
  <c r="AL513" i="4"/>
  <c r="AG514" i="4"/>
  <c r="AH514" i="4"/>
  <c r="AJ514" i="4" s="1"/>
  <c r="AK514" i="4"/>
  <c r="AF515" i="4" s="1"/>
  <c r="AI254" i="4"/>
  <c r="AG254" i="4"/>
  <c r="AK254" i="4" s="1"/>
  <c r="AF255" i="4" s="1"/>
  <c r="AH254" i="4"/>
  <c r="AJ254" i="4" s="1"/>
  <c r="AL253" i="4"/>
  <c r="R115" i="4"/>
  <c r="S115" i="4" s="1"/>
  <c r="N116" i="4" s="1"/>
  <c r="F90" i="3"/>
  <c r="G90" i="3" s="1"/>
  <c r="B91" i="3" s="1"/>
  <c r="AJ706" i="4" l="1"/>
  <c r="AK706" i="4" s="1"/>
  <c r="AF707" i="4" s="1"/>
  <c r="AI515" i="4"/>
  <c r="AG515" i="4"/>
  <c r="AK515" i="4" s="1"/>
  <c r="AF516" i="4" s="1"/>
  <c r="AL514" i="4"/>
  <c r="AH515" i="4"/>
  <c r="AJ515" i="4" s="1"/>
  <c r="AI255" i="4"/>
  <c r="AG255" i="4"/>
  <c r="AL254" i="4"/>
  <c r="AH255" i="4"/>
  <c r="AJ255" i="4" s="1"/>
  <c r="AK255" i="4"/>
  <c r="AF256" i="4" s="1"/>
  <c r="Q116" i="4"/>
  <c r="O116" i="4"/>
  <c r="T115" i="4"/>
  <c r="P116" i="4"/>
  <c r="R116" i="4" s="1"/>
  <c r="S116" i="4" s="1"/>
  <c r="N117" i="4" s="1"/>
  <c r="E91" i="3"/>
  <c r="H90" i="3"/>
  <c r="D91" i="3"/>
  <c r="F91" i="3" s="1"/>
  <c r="C91" i="3"/>
  <c r="AL706" i="4" l="1"/>
  <c r="AG707" i="4"/>
  <c r="AI707" i="4"/>
  <c r="AH707" i="4"/>
  <c r="AG516" i="4"/>
  <c r="AI516" i="4"/>
  <c r="AL515" i="4"/>
  <c r="AH516" i="4"/>
  <c r="AI256" i="4"/>
  <c r="AG256" i="4"/>
  <c r="AL255" i="4"/>
  <c r="AH256" i="4"/>
  <c r="O117" i="4"/>
  <c r="T116" i="4"/>
  <c r="P117" i="4"/>
  <c r="Q117" i="4"/>
  <c r="G91" i="3"/>
  <c r="B92" i="3" s="1"/>
  <c r="C92" i="3"/>
  <c r="H91" i="3"/>
  <c r="E92" i="3"/>
  <c r="D92" i="3"/>
  <c r="F92" i="3" s="1"/>
  <c r="G92" i="3" s="1"/>
  <c r="B93" i="3" s="1"/>
  <c r="AJ707" i="4" l="1"/>
  <c r="AK707" i="4" s="1"/>
  <c r="AF708" i="4" s="1"/>
  <c r="AJ516" i="4"/>
  <c r="AK516" i="4" s="1"/>
  <c r="AF517" i="4" s="1"/>
  <c r="AJ256" i="4"/>
  <c r="AK256" i="4" s="1"/>
  <c r="AF257" i="4" s="1"/>
  <c r="R117" i="4"/>
  <c r="S117" i="4" s="1"/>
  <c r="N118" i="4" s="1"/>
  <c r="E93" i="3"/>
  <c r="H92" i="3"/>
  <c r="C93" i="3"/>
  <c r="D93" i="3"/>
  <c r="F93" i="3" s="1"/>
  <c r="AH708" i="4" l="1"/>
  <c r="AJ708" i="4" s="1"/>
  <c r="AK708" i="4"/>
  <c r="AF709" i="4" s="1"/>
  <c r="AG708" i="4"/>
  <c r="AL707" i="4"/>
  <c r="AI708" i="4"/>
  <c r="AI517" i="4"/>
  <c r="AG517" i="4"/>
  <c r="AL516" i="4"/>
  <c r="AH517" i="4"/>
  <c r="AH257" i="4"/>
  <c r="AJ257" i="4" s="1"/>
  <c r="AL256" i="4"/>
  <c r="AI257" i="4"/>
  <c r="AG257" i="4"/>
  <c r="AK257" i="4" s="1"/>
  <c r="AF258" i="4" s="1"/>
  <c r="T117" i="4"/>
  <c r="O118" i="4"/>
  <c r="P118" i="4"/>
  <c r="Q118" i="4"/>
  <c r="G93" i="3"/>
  <c r="B94" i="3" s="1"/>
  <c r="AI709" i="4" l="1"/>
  <c r="AL708" i="4"/>
  <c r="AH709" i="4"/>
  <c r="AJ709" i="4" s="1"/>
  <c r="AG709" i="4"/>
  <c r="AK709" i="4" s="1"/>
  <c r="AF710" i="4" s="1"/>
  <c r="AJ517" i="4"/>
  <c r="AK517" i="4" s="1"/>
  <c r="AF518" i="4" s="1"/>
  <c r="AL257" i="4"/>
  <c r="AI258" i="4"/>
  <c r="AH258" i="4"/>
  <c r="AJ258" i="4" s="1"/>
  <c r="AG258" i="4"/>
  <c r="AK258" i="4" s="1"/>
  <c r="AF259" i="4" s="1"/>
  <c r="R118" i="4"/>
  <c r="S118" i="4" s="1"/>
  <c r="N119" i="4" s="1"/>
  <c r="H93" i="3"/>
  <c r="C94" i="3"/>
  <c r="E94" i="3"/>
  <c r="D94" i="3"/>
  <c r="F94" i="3" s="1"/>
  <c r="AG710" i="4" l="1"/>
  <c r="AK710" i="4" s="1"/>
  <c r="AF711" i="4" s="1"/>
  <c r="AL709" i="4"/>
  <c r="AI710" i="4"/>
  <c r="AH710" i="4"/>
  <c r="AJ710" i="4" s="1"/>
  <c r="AH518" i="4"/>
  <c r="AJ518" i="4" s="1"/>
  <c r="AK518" i="4"/>
  <c r="AF519" i="4" s="1"/>
  <c r="AL517" i="4"/>
  <c r="AG518" i="4"/>
  <c r="AI518" i="4"/>
  <c r="AG259" i="4"/>
  <c r="AH259" i="4"/>
  <c r="AL258" i="4"/>
  <c r="AI259" i="4"/>
  <c r="Q119" i="4"/>
  <c r="P119" i="4"/>
  <c r="R119" i="4" s="1"/>
  <c r="O119" i="4"/>
  <c r="T118" i="4"/>
  <c r="G94" i="3"/>
  <c r="B95" i="3" s="1"/>
  <c r="AH711" i="4" l="1"/>
  <c r="AL710" i="4"/>
  <c r="AI711" i="4"/>
  <c r="AG711" i="4"/>
  <c r="AH519" i="4"/>
  <c r="AL518" i="4"/>
  <c r="AG519" i="4"/>
  <c r="AI519" i="4"/>
  <c r="AJ259" i="4"/>
  <c r="AK259" i="4" s="1"/>
  <c r="AF260" i="4" s="1"/>
  <c r="S119" i="4"/>
  <c r="N120" i="4" s="1"/>
  <c r="C95" i="3"/>
  <c r="H94" i="3"/>
  <c r="D95" i="3"/>
  <c r="E95" i="3"/>
  <c r="AJ711" i="4" l="1"/>
  <c r="AK711" i="4" s="1"/>
  <c r="AF712" i="4" s="1"/>
  <c r="AJ519" i="4"/>
  <c r="AK519" i="4" s="1"/>
  <c r="AF520" i="4" s="1"/>
  <c r="AH260" i="4"/>
  <c r="AL259" i="4"/>
  <c r="AI260" i="4"/>
  <c r="AG260" i="4"/>
  <c r="O120" i="4"/>
  <c r="T119" i="4"/>
  <c r="Q120" i="4"/>
  <c r="P120" i="4"/>
  <c r="F95" i="3"/>
  <c r="G95" i="3" s="1"/>
  <c r="B96" i="3" s="1"/>
  <c r="AL711" i="4" l="1"/>
  <c r="AI712" i="4"/>
  <c r="AG712" i="4"/>
  <c r="AH712" i="4"/>
  <c r="AJ712" i="4" s="1"/>
  <c r="AK712" i="4"/>
  <c r="AF713" i="4" s="1"/>
  <c r="AH520" i="4"/>
  <c r="AL519" i="4"/>
  <c r="AG520" i="4"/>
  <c r="AI520" i="4"/>
  <c r="AJ260" i="4"/>
  <c r="AK260" i="4" s="1"/>
  <c r="AF261" i="4" s="1"/>
  <c r="R120" i="4"/>
  <c r="S120" i="4" s="1"/>
  <c r="N121" i="4" s="1"/>
  <c r="O121" i="4" s="1"/>
  <c r="H95" i="3"/>
  <c r="E96" i="3"/>
  <c r="C96" i="3"/>
  <c r="D96" i="3"/>
  <c r="F96" i="3" s="1"/>
  <c r="G96" i="3" s="1"/>
  <c r="B97" i="3" s="1"/>
  <c r="AH713" i="4" l="1"/>
  <c r="AG713" i="4"/>
  <c r="AI713" i="4"/>
  <c r="AL712" i="4"/>
  <c r="AJ520" i="4"/>
  <c r="AK520" i="4" s="1"/>
  <c r="AF521" i="4" s="1"/>
  <c r="AI261" i="4"/>
  <c r="AL260" i="4"/>
  <c r="AH261" i="4"/>
  <c r="AJ261" i="4" s="1"/>
  <c r="AG261" i="4"/>
  <c r="AK261" i="4" s="1"/>
  <c r="AF262" i="4" s="1"/>
  <c r="T120" i="4"/>
  <c r="P121" i="4"/>
  <c r="Q121" i="4"/>
  <c r="H96" i="3"/>
  <c r="C97" i="3"/>
  <c r="D97" i="3"/>
  <c r="E97" i="3"/>
  <c r="AJ713" i="4" l="1"/>
  <c r="AK713" i="4" s="1"/>
  <c r="AF714" i="4" s="1"/>
  <c r="AI521" i="4"/>
  <c r="AG521" i="4"/>
  <c r="AK521" i="4" s="1"/>
  <c r="AF522" i="4" s="1"/>
  <c r="AH521" i="4"/>
  <c r="AJ521" i="4" s="1"/>
  <c r="AL520" i="4"/>
  <c r="AH262" i="4"/>
  <c r="AL261" i="4"/>
  <c r="AG262" i="4"/>
  <c r="AI262" i="4"/>
  <c r="R121" i="4"/>
  <c r="S121" i="4" s="1"/>
  <c r="N122" i="4" s="1"/>
  <c r="F97" i="3"/>
  <c r="G97" i="3" s="1"/>
  <c r="B98" i="3" s="1"/>
  <c r="AI714" i="4" l="1"/>
  <c r="AL713" i="4"/>
  <c r="AG714" i="4"/>
  <c r="AH714" i="4"/>
  <c r="AL521" i="4"/>
  <c r="AI522" i="4"/>
  <c r="AG522" i="4"/>
  <c r="AK522" i="4" s="1"/>
  <c r="AF523" i="4" s="1"/>
  <c r="AH522" i="4"/>
  <c r="AJ522" i="4" s="1"/>
  <c r="AJ262" i="4"/>
  <c r="AK262" i="4" s="1"/>
  <c r="AF263" i="4" s="1"/>
  <c r="O122" i="4"/>
  <c r="T122" i="4"/>
  <c r="N31" i="4" s="1" a="1"/>
  <c r="N31" i="4" s="1"/>
  <c r="O12" i="4" s="1"/>
  <c r="P122" i="4"/>
  <c r="T121" i="4"/>
  <c r="Q122" i="4"/>
  <c r="D98" i="3"/>
  <c r="C98" i="3"/>
  <c r="E98" i="3"/>
  <c r="H97" i="3"/>
  <c r="AJ714" i="4" l="1"/>
  <c r="AK714" i="4" s="1"/>
  <c r="AF715" i="4" s="1"/>
  <c r="AI523" i="4"/>
  <c r="AH523" i="4"/>
  <c r="AJ523" i="4" s="1"/>
  <c r="AL522" i="4"/>
  <c r="AG523" i="4"/>
  <c r="AK523" i="4" s="1"/>
  <c r="AF524" i="4" s="1"/>
  <c r="AI263" i="4"/>
  <c r="AG263" i="4"/>
  <c r="AK263" i="4" s="1"/>
  <c r="AF264" i="4" s="1"/>
  <c r="AL262" i="4"/>
  <c r="AH263" i="4"/>
  <c r="AJ263" i="4" s="1"/>
  <c r="R122" i="4"/>
  <c r="S122" i="4" s="1"/>
  <c r="F98" i="3"/>
  <c r="G98" i="3" s="1"/>
  <c r="B99" i="3" s="1"/>
  <c r="AG715" i="4" l="1"/>
  <c r="AL714" i="4"/>
  <c r="AH715" i="4"/>
  <c r="AI715" i="4"/>
  <c r="AL523" i="4"/>
  <c r="AI524" i="4"/>
  <c r="AG524" i="4"/>
  <c r="AK524" i="4" s="1"/>
  <c r="AF525" i="4" s="1"/>
  <c r="AH524" i="4"/>
  <c r="AJ524" i="4" s="1"/>
  <c r="AI264" i="4"/>
  <c r="AG264" i="4"/>
  <c r="AH264" i="4"/>
  <c r="AL263" i="4"/>
  <c r="E99" i="3"/>
  <c r="C99" i="3"/>
  <c r="H98" i="3"/>
  <c r="D99" i="3"/>
  <c r="F99" i="3" s="1"/>
  <c r="G99" i="3" s="1"/>
  <c r="B100" i="3" s="1"/>
  <c r="AJ715" i="4" l="1"/>
  <c r="AK715" i="4" s="1"/>
  <c r="AF716" i="4" s="1"/>
  <c r="AI525" i="4"/>
  <c r="AL524" i="4"/>
  <c r="AG525" i="4"/>
  <c r="AH525" i="4"/>
  <c r="AJ525" i="4" s="1"/>
  <c r="AK525" i="4" s="1"/>
  <c r="AF526" i="4" s="1"/>
  <c r="AJ264" i="4"/>
  <c r="AK264" i="4" s="1"/>
  <c r="AF265" i="4" s="1"/>
  <c r="E100" i="3"/>
  <c r="C100" i="3"/>
  <c r="H99" i="3"/>
  <c r="D100" i="3"/>
  <c r="F100" i="3" s="1"/>
  <c r="G100" i="3" s="1"/>
  <c r="B101" i="3" s="1"/>
  <c r="AI716" i="4" l="1"/>
  <c r="AH716" i="4"/>
  <c r="AL715" i="4"/>
  <c r="AG716" i="4"/>
  <c r="AG526" i="4"/>
  <c r="AK526" i="4" s="1"/>
  <c r="AF527" i="4" s="1"/>
  <c r="AL525" i="4"/>
  <c r="AI526" i="4"/>
  <c r="AH526" i="4"/>
  <c r="AJ526" i="4" s="1"/>
  <c r="AH265" i="4"/>
  <c r="AG265" i="4"/>
  <c r="AI265" i="4"/>
  <c r="AL264" i="4"/>
  <c r="H100" i="3"/>
  <c r="E101" i="3"/>
  <c r="D101" i="3"/>
  <c r="F101" i="3" s="1"/>
  <c r="C101" i="3"/>
  <c r="AJ716" i="4" l="1"/>
  <c r="AK716" i="4" s="1"/>
  <c r="AF717" i="4" s="1"/>
  <c r="AH527" i="4"/>
  <c r="AI527" i="4"/>
  <c r="AL526" i="4"/>
  <c r="AG527" i="4"/>
  <c r="AJ265" i="4"/>
  <c r="AK265" i="4" s="1"/>
  <c r="AF266" i="4" s="1"/>
  <c r="G101" i="3"/>
  <c r="B102" i="3" s="1"/>
  <c r="H101" i="3"/>
  <c r="E102" i="3"/>
  <c r="D102" i="3"/>
  <c r="F102" i="3" s="1"/>
  <c r="C102" i="3"/>
  <c r="AG717" i="4" l="1"/>
  <c r="AI717" i="4"/>
  <c r="AL716" i="4"/>
  <c r="AH717" i="4"/>
  <c r="AJ527" i="4"/>
  <c r="AK527" i="4" s="1"/>
  <c r="AF528" i="4" s="1"/>
  <c r="AI266" i="4"/>
  <c r="AG266" i="4"/>
  <c r="AL265" i="4"/>
  <c r="AH266" i="4"/>
  <c r="G102" i="3"/>
  <c r="B103" i="3" s="1"/>
  <c r="AJ717" i="4" l="1"/>
  <c r="AK717" i="4" s="1"/>
  <c r="AF718" i="4" s="1"/>
  <c r="AI528" i="4"/>
  <c r="AG528" i="4"/>
  <c r="AL527" i="4"/>
  <c r="AH528" i="4"/>
  <c r="AJ528" i="4" s="1"/>
  <c r="AK528" i="4"/>
  <c r="AF529" i="4" s="1"/>
  <c r="AJ266" i="4"/>
  <c r="AK266" i="4" s="1"/>
  <c r="AF267" i="4" s="1"/>
  <c r="C103" i="3"/>
  <c r="H102" i="3"/>
  <c r="D103" i="3"/>
  <c r="E103" i="3"/>
  <c r="AG718" i="4" l="1"/>
  <c r="AK718" i="4" s="1"/>
  <c r="AF719" i="4" s="1"/>
  <c r="AI718" i="4"/>
  <c r="AL717" i="4"/>
  <c r="AH718" i="4"/>
  <c r="AJ718" i="4" s="1"/>
  <c r="AG529" i="4"/>
  <c r="AI529" i="4"/>
  <c r="AL528" i="4"/>
  <c r="AH529" i="4"/>
  <c r="AI267" i="4"/>
  <c r="AL266" i="4"/>
  <c r="AH267" i="4"/>
  <c r="AJ267" i="4" s="1"/>
  <c r="AG267" i="4"/>
  <c r="AK267" i="4" s="1"/>
  <c r="AF268" i="4" s="1"/>
  <c r="F103" i="3"/>
  <c r="G103" i="3" s="1"/>
  <c r="B104" i="3" s="1"/>
  <c r="AL718" i="4" l="1"/>
  <c r="AH719" i="4"/>
  <c r="AI719" i="4"/>
  <c r="AG719" i="4"/>
  <c r="AJ529" i="4"/>
  <c r="AK529" i="4" s="1"/>
  <c r="AF530" i="4" s="1"/>
  <c r="AG268" i="4"/>
  <c r="AK268" i="4" s="1"/>
  <c r="AF269" i="4" s="1"/>
  <c r="AH268" i="4"/>
  <c r="AJ268" i="4" s="1"/>
  <c r="AL267" i="4"/>
  <c r="AI268" i="4"/>
  <c r="C104" i="3"/>
  <c r="H103" i="3"/>
  <c r="D104" i="3"/>
  <c r="E104" i="3"/>
  <c r="AJ719" i="4" l="1"/>
  <c r="AK719" i="4" s="1"/>
  <c r="AF720" i="4" s="1"/>
  <c r="AL529" i="4"/>
  <c r="AG530" i="4"/>
  <c r="AI530" i="4"/>
  <c r="AH530" i="4"/>
  <c r="AJ530" i="4" s="1"/>
  <c r="AK530" i="4" s="1"/>
  <c r="AF531" i="4" s="1"/>
  <c r="AI269" i="4"/>
  <c r="AL268" i="4"/>
  <c r="AG269" i="4"/>
  <c r="AH269" i="4"/>
  <c r="F104" i="3"/>
  <c r="G104" i="3" s="1"/>
  <c r="B105" i="3" s="1"/>
  <c r="D105" i="3"/>
  <c r="C105" i="3"/>
  <c r="H104" i="3"/>
  <c r="E105" i="3"/>
  <c r="AL719" i="4" l="1"/>
  <c r="AG720" i="4"/>
  <c r="AI720" i="4"/>
  <c r="AH720" i="4"/>
  <c r="AJ720" i="4" s="1"/>
  <c r="AK720" i="4" s="1"/>
  <c r="AF721" i="4" s="1"/>
  <c r="AH531" i="4"/>
  <c r="AG531" i="4"/>
  <c r="AL530" i="4"/>
  <c r="AI531" i="4"/>
  <c r="AJ269" i="4"/>
  <c r="AK269" i="4" s="1"/>
  <c r="AF270" i="4" s="1"/>
  <c r="F105" i="3"/>
  <c r="G105" i="3" s="1"/>
  <c r="B106" i="3" s="1"/>
  <c r="AH721" i="4" l="1"/>
  <c r="AL720" i="4"/>
  <c r="AG721" i="4"/>
  <c r="AI721" i="4"/>
  <c r="AJ531" i="4"/>
  <c r="AK531" i="4" s="1"/>
  <c r="AF532" i="4" s="1"/>
  <c r="AH270" i="4"/>
  <c r="AL269" i="4"/>
  <c r="AI270" i="4"/>
  <c r="AG270" i="4"/>
  <c r="E106" i="3"/>
  <c r="C106" i="3"/>
  <c r="D106" i="3"/>
  <c r="F106" i="3" s="1"/>
  <c r="H105" i="3"/>
  <c r="G106" i="3"/>
  <c r="B107" i="3" s="1"/>
  <c r="AJ721" i="4" l="1"/>
  <c r="AK721" i="4" s="1"/>
  <c r="AF722" i="4" s="1"/>
  <c r="AH532" i="4"/>
  <c r="AJ532" i="4" s="1"/>
  <c r="AL531" i="4"/>
  <c r="AG532" i="4"/>
  <c r="AK532" i="4" s="1"/>
  <c r="AF533" i="4" s="1"/>
  <c r="AI532" i="4"/>
  <c r="AJ270" i="4"/>
  <c r="AK270" i="4" s="1"/>
  <c r="AF271" i="4" s="1"/>
  <c r="E107" i="3"/>
  <c r="C107" i="3"/>
  <c r="H106" i="3"/>
  <c r="D107" i="3"/>
  <c r="F107" i="3" s="1"/>
  <c r="G107" i="3" s="1"/>
  <c r="B108" i="3" s="1"/>
  <c r="AL721" i="4" l="1"/>
  <c r="AH722" i="4"/>
  <c r="AG722" i="4"/>
  <c r="AI722" i="4"/>
  <c r="AH533" i="4"/>
  <c r="AG533" i="4"/>
  <c r="AL532" i="4"/>
  <c r="AI533" i="4"/>
  <c r="AH271" i="4"/>
  <c r="AJ271" i="4" s="1"/>
  <c r="AG271" i="4"/>
  <c r="AK271" i="4" s="1"/>
  <c r="AF272" i="4" s="1"/>
  <c r="AL270" i="4"/>
  <c r="AI271" i="4"/>
  <c r="H107" i="3"/>
  <c r="C108" i="3"/>
  <c r="D108" i="3"/>
  <c r="E108" i="3"/>
  <c r="AJ722" i="4" l="1"/>
  <c r="AK722" i="4" s="1"/>
  <c r="AJ533" i="4"/>
  <c r="AK533" i="4" s="1"/>
  <c r="AF534" i="4" s="1"/>
  <c r="AH272" i="4"/>
  <c r="AL271" i="4"/>
  <c r="AG272" i="4"/>
  <c r="AI272" i="4"/>
  <c r="F108" i="3"/>
  <c r="G108" i="3" s="1"/>
  <c r="B109" i="3" s="1"/>
  <c r="AL722" i="4" l="1"/>
  <c r="AH534" i="4"/>
  <c r="AG534" i="4"/>
  <c r="AL533" i="4"/>
  <c r="AI534" i="4"/>
  <c r="AJ272" i="4"/>
  <c r="AK272" i="4" s="1"/>
  <c r="AF273" i="4" s="1"/>
  <c r="H108" i="3"/>
  <c r="E109" i="3"/>
  <c r="D109" i="3"/>
  <c r="C109" i="3"/>
  <c r="AJ534" i="4" l="1"/>
  <c r="AK534" i="4" s="1"/>
  <c r="AF535" i="4" s="1"/>
  <c r="AL272" i="4"/>
  <c r="AG273" i="4"/>
  <c r="AI273" i="4"/>
  <c r="AH273" i="4"/>
  <c r="AJ273" i="4" s="1"/>
  <c r="AK273" i="4"/>
  <c r="AF274" i="4" s="1"/>
  <c r="F109" i="3"/>
  <c r="G109" i="3"/>
  <c r="B110" i="3" s="1"/>
  <c r="D110" i="3"/>
  <c r="E110" i="3"/>
  <c r="C110" i="3"/>
  <c r="H109" i="3"/>
  <c r="AL534" i="4" l="1"/>
  <c r="AG535" i="4"/>
  <c r="AI535" i="4"/>
  <c r="AH535" i="4"/>
  <c r="AJ535" i="4" s="1"/>
  <c r="AK535" i="4" s="1"/>
  <c r="AF536" i="4" s="1"/>
  <c r="AH274" i="4"/>
  <c r="AJ274" i="4" s="1"/>
  <c r="AK274" i="4" s="1"/>
  <c r="AF275" i="4" s="1"/>
  <c r="AG274" i="4"/>
  <c r="AL273" i="4"/>
  <c r="AI274" i="4"/>
  <c r="F110" i="3"/>
  <c r="G110" i="3" s="1"/>
  <c r="B111" i="3" s="1"/>
  <c r="AH536" i="4" l="1"/>
  <c r="AJ536" i="4" s="1"/>
  <c r="AL535" i="4"/>
  <c r="AI536" i="4"/>
  <c r="AG536" i="4"/>
  <c r="AK536" i="4" s="1"/>
  <c r="AF537" i="4" s="1"/>
  <c r="AI275" i="4"/>
  <c r="AH275" i="4"/>
  <c r="AJ275" i="4" s="1"/>
  <c r="AL274" i="4"/>
  <c r="AG275" i="4"/>
  <c r="AK275" i="4" s="1"/>
  <c r="AF276" i="4" s="1"/>
  <c r="H110" i="3"/>
  <c r="E111" i="3"/>
  <c r="C111" i="3"/>
  <c r="D111" i="3"/>
  <c r="F111" i="3" s="1"/>
  <c r="AG537" i="4" l="1"/>
  <c r="AK537" i="4" s="1"/>
  <c r="AF538" i="4" s="1"/>
  <c r="AH537" i="4"/>
  <c r="AJ537" i="4" s="1"/>
  <c r="AL536" i="4"/>
  <c r="AI537" i="4"/>
  <c r="AL275" i="4"/>
  <c r="AI276" i="4"/>
  <c r="AH276" i="4"/>
  <c r="AJ276" i="4" s="1"/>
  <c r="AG276" i="4"/>
  <c r="AK276" i="4" s="1"/>
  <c r="AF277" i="4" s="1"/>
  <c r="G111" i="3"/>
  <c r="B112" i="3" s="1"/>
  <c r="AH538" i="4" l="1"/>
  <c r="AJ538" i="4" s="1"/>
  <c r="AG538" i="4"/>
  <c r="AK538" i="4" s="1"/>
  <c r="AF539" i="4" s="1"/>
  <c r="AI538" i="4"/>
  <c r="AL537" i="4"/>
  <c r="AL276" i="4"/>
  <c r="AI277" i="4"/>
  <c r="AH277" i="4"/>
  <c r="AJ277" i="4" s="1"/>
  <c r="AG277" i="4"/>
  <c r="AK277" i="4" s="1"/>
  <c r="AF278" i="4" s="1"/>
  <c r="E112" i="3"/>
  <c r="H111" i="3"/>
  <c r="C112" i="3"/>
  <c r="D112" i="3"/>
  <c r="AI539" i="4" l="1"/>
  <c r="AL538" i="4"/>
  <c r="AG539" i="4"/>
  <c r="AH539" i="4"/>
  <c r="AL277" i="4"/>
  <c r="AI278" i="4"/>
  <c r="AH278" i="4"/>
  <c r="AG278" i="4"/>
  <c r="F112" i="3"/>
  <c r="G112" i="3" s="1"/>
  <c r="B113" i="3" s="1"/>
  <c r="AJ539" i="4" l="1"/>
  <c r="AK539" i="4" s="1"/>
  <c r="AF540" i="4" s="1"/>
  <c r="AJ278" i="4"/>
  <c r="AK278" i="4" s="1"/>
  <c r="AF279" i="4" s="1"/>
  <c r="H112" i="3"/>
  <c r="C113" i="3"/>
  <c r="E113" i="3"/>
  <c r="D113" i="3"/>
  <c r="F113" i="3" s="1"/>
  <c r="G113" i="3" s="1"/>
  <c r="B114" i="3" s="1"/>
  <c r="AH540" i="4" l="1"/>
  <c r="AJ540" i="4" s="1"/>
  <c r="AL539" i="4"/>
  <c r="AG540" i="4"/>
  <c r="AK540" i="4" s="1"/>
  <c r="AF541" i="4" s="1"/>
  <c r="AI540" i="4"/>
  <c r="AG279" i="4"/>
  <c r="AH279" i="4"/>
  <c r="AI279" i="4"/>
  <c r="AL278" i="4"/>
  <c r="H113" i="3"/>
  <c r="D114" i="3"/>
  <c r="E114" i="3"/>
  <c r="C114" i="3"/>
  <c r="AH541" i="4" l="1"/>
  <c r="AL540" i="4"/>
  <c r="AG541" i="4"/>
  <c r="AI541" i="4"/>
  <c r="AJ279" i="4"/>
  <c r="AK279" i="4" s="1"/>
  <c r="AF280" i="4" s="1"/>
  <c r="F114" i="3"/>
  <c r="G114" i="3" s="1"/>
  <c r="B115" i="3" s="1"/>
  <c r="AJ541" i="4" l="1"/>
  <c r="AK541" i="4" s="1"/>
  <c r="AF542" i="4" s="1"/>
  <c r="AG280" i="4"/>
  <c r="AH280" i="4"/>
  <c r="AI280" i="4"/>
  <c r="AL279" i="4"/>
  <c r="E115" i="3"/>
  <c r="H114" i="3"/>
  <c r="C115" i="3"/>
  <c r="D115" i="3"/>
  <c r="F115" i="3" s="1"/>
  <c r="G115" i="3" s="1"/>
  <c r="B116" i="3" s="1"/>
  <c r="AI542" i="4" l="1"/>
  <c r="AH542" i="4"/>
  <c r="AJ542" i="4" s="1"/>
  <c r="AK542" i="4" s="1"/>
  <c r="AF543" i="4" s="1"/>
  <c r="AL541" i="4"/>
  <c r="AG542" i="4"/>
  <c r="AJ280" i="4"/>
  <c r="AK280" i="4" s="1"/>
  <c r="AF281" i="4" s="1"/>
  <c r="C116" i="3"/>
  <c r="D116" i="3"/>
  <c r="H115" i="3"/>
  <c r="E116" i="3"/>
  <c r="AG543" i="4" l="1"/>
  <c r="AL542" i="4"/>
  <c r="AH543" i="4"/>
  <c r="AI543" i="4"/>
  <c r="AG281" i="4"/>
  <c r="AH281" i="4"/>
  <c r="AI281" i="4"/>
  <c r="AL280" i="4"/>
  <c r="F116" i="3"/>
  <c r="G116" i="3" s="1"/>
  <c r="B117" i="3" s="1"/>
  <c r="AJ543" i="4" l="1"/>
  <c r="AK543" i="4" s="1"/>
  <c r="AF544" i="4" s="1"/>
  <c r="AJ281" i="4"/>
  <c r="AK281" i="4" s="1"/>
  <c r="AF282" i="4" s="1"/>
  <c r="H116" i="3"/>
  <c r="D117" i="3"/>
  <c r="E117" i="3"/>
  <c r="C117" i="3"/>
  <c r="AG544" i="4" l="1"/>
  <c r="AI544" i="4"/>
  <c r="AL543" i="4"/>
  <c r="AH544" i="4"/>
  <c r="AJ544" i="4" s="1"/>
  <c r="AK544" i="4" s="1"/>
  <c r="AF545" i="4" s="1"/>
  <c r="AG282" i="4"/>
  <c r="AH282" i="4"/>
  <c r="AI282" i="4"/>
  <c r="AL281" i="4"/>
  <c r="F117" i="3"/>
  <c r="G117" i="3"/>
  <c r="B118" i="3" s="1"/>
  <c r="AG545" i="4" l="1"/>
  <c r="AI545" i="4"/>
  <c r="AH545" i="4"/>
  <c r="AJ545" i="4" s="1"/>
  <c r="AK545" i="4" s="1"/>
  <c r="AF546" i="4" s="1"/>
  <c r="AL544" i="4"/>
  <c r="AJ282" i="4"/>
  <c r="AK282" i="4" s="1"/>
  <c r="AF283" i="4" s="1"/>
  <c r="H117" i="3"/>
  <c r="E118" i="3"/>
  <c r="C118" i="3"/>
  <c r="D118" i="3"/>
  <c r="F118" i="3" s="1"/>
  <c r="G118" i="3" s="1"/>
  <c r="B119" i="3" s="1"/>
  <c r="AI546" i="4" l="1"/>
  <c r="AG546" i="4"/>
  <c r="AK546" i="4" s="1"/>
  <c r="AF547" i="4" s="1"/>
  <c r="AL545" i="4"/>
  <c r="AH546" i="4"/>
  <c r="AJ546" i="4" s="1"/>
  <c r="AG283" i="4"/>
  <c r="AK283" i="4" s="1"/>
  <c r="AF284" i="4" s="1"/>
  <c r="AH283" i="4"/>
  <c r="AJ283" i="4" s="1"/>
  <c r="AI283" i="4"/>
  <c r="AL282" i="4"/>
  <c r="H118" i="3"/>
  <c r="C119" i="3"/>
  <c r="D119" i="3"/>
  <c r="E119" i="3"/>
  <c r="AI547" i="4" l="1"/>
  <c r="AG547" i="4"/>
  <c r="AL546" i="4"/>
  <c r="AH547" i="4"/>
  <c r="AL283" i="4"/>
  <c r="AI284" i="4"/>
  <c r="AH284" i="4"/>
  <c r="AJ284" i="4" s="1"/>
  <c r="AG284" i="4"/>
  <c r="AK284" i="4" s="1"/>
  <c r="AF285" i="4" s="1"/>
  <c r="F119" i="3"/>
  <c r="G119" i="3" s="1"/>
  <c r="B120" i="3" s="1"/>
  <c r="H119" i="3"/>
  <c r="C120" i="3"/>
  <c r="D120" i="3"/>
  <c r="E120" i="3"/>
  <c r="AJ547" i="4" l="1"/>
  <c r="AK547" i="4" s="1"/>
  <c r="AF548" i="4" s="1"/>
  <c r="AL284" i="4"/>
  <c r="AI285" i="4"/>
  <c r="AH285" i="4"/>
  <c r="AJ285" i="4" s="1"/>
  <c r="AG285" i="4"/>
  <c r="AK285" i="4" s="1"/>
  <c r="AF286" i="4" s="1"/>
  <c r="F120" i="3"/>
  <c r="G120" i="3" s="1"/>
  <c r="B121" i="3" s="1"/>
  <c r="AG548" i="4" l="1"/>
  <c r="AI548" i="4"/>
  <c r="AL547" i="4"/>
  <c r="AH548" i="4"/>
  <c r="AL285" i="4"/>
  <c r="AK286" i="4"/>
  <c r="AF287" i="4" s="1"/>
  <c r="AI286" i="4"/>
  <c r="AH286" i="4"/>
  <c r="AJ286" i="4" s="1"/>
  <c r="AG286" i="4"/>
  <c r="E121" i="3"/>
  <c r="C121" i="3"/>
  <c r="H120" i="3"/>
  <c r="D121" i="3"/>
  <c r="F121" i="3" s="1"/>
  <c r="G121" i="3" s="1"/>
  <c r="B122" i="3" s="1"/>
  <c r="AJ548" i="4" l="1"/>
  <c r="AK548" i="4" s="1"/>
  <c r="AF549" i="4" s="1"/>
  <c r="AL286" i="4"/>
  <c r="AK287" i="4"/>
  <c r="AF288" i="4" s="1"/>
  <c r="AI287" i="4"/>
  <c r="AH287" i="4"/>
  <c r="AJ287" i="4" s="1"/>
  <c r="AG287" i="4"/>
  <c r="D122" i="3"/>
  <c r="C122" i="3"/>
  <c r="H121" i="3"/>
  <c r="E122" i="3"/>
  <c r="AG549" i="4" l="1"/>
  <c r="AK549" i="4" s="1"/>
  <c r="AF550" i="4" s="1"/>
  <c r="AI549" i="4"/>
  <c r="AH549" i="4"/>
  <c r="AJ549" i="4" s="1"/>
  <c r="AL548" i="4"/>
  <c r="AL287" i="4"/>
  <c r="AI288" i="4"/>
  <c r="AH288" i="4"/>
  <c r="AJ288" i="4" s="1"/>
  <c r="AG288" i="4"/>
  <c r="AK288" i="4" s="1"/>
  <c r="AF289" i="4" s="1"/>
  <c r="F122" i="3"/>
  <c r="G122" i="3" s="1"/>
  <c r="B123" i="3" s="1"/>
  <c r="AI550" i="4" l="1"/>
  <c r="AG550" i="4"/>
  <c r="AK550" i="4" s="1"/>
  <c r="AF551" i="4" s="1"/>
  <c r="AL549" i="4"/>
  <c r="AH550" i="4"/>
  <c r="AJ550" i="4" s="1"/>
  <c r="AL288" i="4"/>
  <c r="AK289" i="4"/>
  <c r="AF290" i="4" s="1"/>
  <c r="AI289" i="4"/>
  <c r="AH289" i="4"/>
  <c r="AJ289" i="4" s="1"/>
  <c r="AG289" i="4"/>
  <c r="D123" i="3"/>
  <c r="C123" i="3"/>
  <c r="H122" i="3"/>
  <c r="E123" i="3"/>
  <c r="AI551" i="4" l="1"/>
  <c r="AL550" i="4"/>
  <c r="AG551" i="4"/>
  <c r="AK551" i="4" s="1"/>
  <c r="AF552" i="4" s="1"/>
  <c r="AH551" i="4"/>
  <c r="AJ551" i="4" s="1"/>
  <c r="AL289" i="4"/>
  <c r="AI290" i="4"/>
  <c r="AH290" i="4"/>
  <c r="AG290" i="4"/>
  <c r="F123" i="3"/>
  <c r="G123" i="3" s="1"/>
  <c r="B124" i="3" s="1"/>
  <c r="AH552" i="4" l="1"/>
  <c r="AG552" i="4"/>
  <c r="AL551" i="4"/>
  <c r="AI552" i="4"/>
  <c r="AJ290" i="4"/>
  <c r="AK290" i="4" s="1"/>
  <c r="AF291" i="4" s="1"/>
  <c r="H123" i="3"/>
  <c r="C124" i="3"/>
  <c r="D124" i="3"/>
  <c r="E124" i="3"/>
  <c r="AJ552" i="4" l="1"/>
  <c r="AK552" i="4" s="1"/>
  <c r="AF553" i="4" s="1"/>
  <c r="AG291" i="4"/>
  <c r="AK291" i="4" s="1"/>
  <c r="AF292" i="4" s="1"/>
  <c r="AH291" i="4"/>
  <c r="AJ291" i="4" s="1"/>
  <c r="AI291" i="4"/>
  <c r="AL290" i="4"/>
  <c r="F124" i="3"/>
  <c r="G124" i="3" s="1"/>
  <c r="B125" i="3" s="1"/>
  <c r="AI553" i="4" l="1"/>
  <c r="AH553" i="4"/>
  <c r="AJ553" i="4" s="1"/>
  <c r="AL552" i="4"/>
  <c r="AG553" i="4"/>
  <c r="AK553" i="4"/>
  <c r="AF554" i="4" s="1"/>
  <c r="AL291" i="4"/>
  <c r="AI292" i="4"/>
  <c r="AH292" i="4"/>
  <c r="AJ292" i="4" s="1"/>
  <c r="AG292" i="4"/>
  <c r="AK292" i="4" s="1"/>
  <c r="AF293" i="4" s="1"/>
  <c r="D125" i="3"/>
  <c r="E125" i="3"/>
  <c r="C125" i="3"/>
  <c r="H124" i="3"/>
  <c r="AG554" i="4" l="1"/>
  <c r="AH554" i="4"/>
  <c r="AL553" i="4"/>
  <c r="AI554" i="4"/>
  <c r="AL292" i="4"/>
  <c r="AI293" i="4"/>
  <c r="AH293" i="4"/>
  <c r="AJ293" i="4" s="1"/>
  <c r="AG293" i="4"/>
  <c r="AK293" i="4" s="1"/>
  <c r="AF294" i="4" s="1"/>
  <c r="F125" i="3"/>
  <c r="G125" i="3" s="1"/>
  <c r="B126" i="3" s="1"/>
  <c r="AJ554" i="4" l="1"/>
  <c r="AK554" i="4" s="1"/>
  <c r="AF555" i="4" s="1"/>
  <c r="AL293" i="4"/>
  <c r="AI294" i="4"/>
  <c r="AH294" i="4"/>
  <c r="AJ294" i="4" s="1"/>
  <c r="AG294" i="4"/>
  <c r="AK294" i="4" s="1"/>
  <c r="AF295" i="4" s="1"/>
  <c r="C126" i="3"/>
  <c r="D126" i="3"/>
  <c r="E126" i="3"/>
  <c r="H125" i="3"/>
  <c r="AH555" i="4" l="1"/>
  <c r="AL554" i="4"/>
  <c r="AG555" i="4"/>
  <c r="AI555" i="4"/>
  <c r="AL294" i="4"/>
  <c r="AI295" i="4"/>
  <c r="AH295" i="4"/>
  <c r="AJ295" i="4" s="1"/>
  <c r="AK295" i="4" s="1"/>
  <c r="AF296" i="4" s="1"/>
  <c r="AG295" i="4"/>
  <c r="F126" i="3"/>
  <c r="G126" i="3" s="1"/>
  <c r="B127" i="3" s="1"/>
  <c r="AJ555" i="4" l="1"/>
  <c r="AK555" i="4" s="1"/>
  <c r="AF556" i="4" s="1"/>
  <c r="AL295" i="4"/>
  <c r="AI296" i="4"/>
  <c r="AH296" i="4"/>
  <c r="AJ296" i="4" s="1"/>
  <c r="AG296" i="4"/>
  <c r="AK296" i="4" s="1"/>
  <c r="AF297" i="4" s="1"/>
  <c r="C127" i="3"/>
  <c r="E127" i="3"/>
  <c r="H126" i="3"/>
  <c r="D127" i="3"/>
  <c r="F127" i="3" s="1"/>
  <c r="G127" i="3" s="1"/>
  <c r="B128" i="3" s="1"/>
  <c r="AI556" i="4" l="1"/>
  <c r="AL555" i="4"/>
  <c r="AG556" i="4"/>
  <c r="AH556" i="4"/>
  <c r="AL296" i="4"/>
  <c r="AI297" i="4"/>
  <c r="AH297" i="4"/>
  <c r="AG297" i="4"/>
  <c r="H127" i="3"/>
  <c r="D128" i="3"/>
  <c r="C128" i="3"/>
  <c r="E128" i="3"/>
  <c r="AJ556" i="4" l="1"/>
  <c r="AK556" i="4" s="1"/>
  <c r="AF557" i="4" s="1"/>
  <c r="AJ297" i="4"/>
  <c r="AK297" i="4" s="1"/>
  <c r="AF298" i="4" s="1"/>
  <c r="F128" i="3"/>
  <c r="G128" i="3" s="1"/>
  <c r="B129" i="3" s="1"/>
  <c r="AI557" i="4" l="1"/>
  <c r="AG557" i="4"/>
  <c r="AL556" i="4"/>
  <c r="AH557" i="4"/>
  <c r="AJ557" i="4" s="1"/>
  <c r="AK557" i="4" s="1"/>
  <c r="AF558" i="4" s="1"/>
  <c r="AG298" i="4"/>
  <c r="AH298" i="4"/>
  <c r="AI298" i="4"/>
  <c r="AL297" i="4"/>
  <c r="E129" i="3"/>
  <c r="D129" i="3"/>
  <c r="F129" i="3" s="1"/>
  <c r="H128" i="3"/>
  <c r="C129" i="3"/>
  <c r="G129" i="3" s="1"/>
  <c r="B130" i="3" s="1"/>
  <c r="AL557" i="4" l="1"/>
  <c r="AH558" i="4"/>
  <c r="AJ558" i="4" s="1"/>
  <c r="AI558" i="4"/>
  <c r="AG558" i="4"/>
  <c r="AK558" i="4" s="1"/>
  <c r="AF559" i="4" s="1"/>
  <c r="AJ298" i="4"/>
  <c r="AK298" i="4" s="1"/>
  <c r="AF299" i="4" s="1"/>
  <c r="H129" i="3"/>
  <c r="E130" i="3"/>
  <c r="C130" i="3"/>
  <c r="D130" i="3"/>
  <c r="F130" i="3" s="1"/>
  <c r="AH559" i="4" l="1"/>
  <c r="AJ559" i="4" s="1"/>
  <c r="AL558" i="4"/>
  <c r="AK559" i="4"/>
  <c r="AF560" i="4" s="1"/>
  <c r="AI559" i="4"/>
  <c r="AG559" i="4"/>
  <c r="AG299" i="4"/>
  <c r="AH299" i="4"/>
  <c r="AI299" i="4"/>
  <c r="AL298" i="4"/>
  <c r="G130" i="3"/>
  <c r="B131" i="3" s="1"/>
  <c r="AG560" i="4" l="1"/>
  <c r="AK560" i="4" s="1"/>
  <c r="AF561" i="4" s="1"/>
  <c r="AL559" i="4"/>
  <c r="AH560" i="4"/>
  <c r="AJ560" i="4" s="1"/>
  <c r="AI560" i="4"/>
  <c r="AJ299" i="4"/>
  <c r="AK299" i="4" s="1"/>
  <c r="AF300" i="4" s="1"/>
  <c r="C131" i="3"/>
  <c r="D131" i="3"/>
  <c r="E131" i="3"/>
  <c r="H130" i="3"/>
  <c r="AG561" i="4" l="1"/>
  <c r="AL560" i="4"/>
  <c r="AI561" i="4"/>
  <c r="AK561" i="4"/>
  <c r="AF562" i="4" s="1"/>
  <c r="AH561" i="4"/>
  <c r="AJ561" i="4" s="1"/>
  <c r="AG300" i="4"/>
  <c r="AH300" i="4"/>
  <c r="AI300" i="4"/>
  <c r="AL299" i="4"/>
  <c r="F131" i="3"/>
  <c r="G131" i="3" s="1"/>
  <c r="B132" i="3" s="1"/>
  <c r="AL561" i="4" l="1"/>
  <c r="AH562" i="4"/>
  <c r="AJ562" i="4" s="1"/>
  <c r="AK562" i="4" s="1"/>
  <c r="AF563" i="4" s="1"/>
  <c r="AI562" i="4"/>
  <c r="AG562" i="4"/>
  <c r="AJ300" i="4"/>
  <c r="AK300" i="4" s="1"/>
  <c r="AF301" i="4" s="1"/>
  <c r="D132" i="3"/>
  <c r="C132" i="3"/>
  <c r="E132" i="3"/>
  <c r="H131" i="3"/>
  <c r="AL562" i="4" l="1"/>
  <c r="AI563" i="4"/>
  <c r="AG563" i="4"/>
  <c r="AK563" i="4" s="1"/>
  <c r="AF564" i="4" s="1"/>
  <c r="AH563" i="4"/>
  <c r="AJ563" i="4" s="1"/>
  <c r="AG301" i="4"/>
  <c r="AH301" i="4"/>
  <c r="AI301" i="4"/>
  <c r="AL300" i="4"/>
  <c r="F132" i="3"/>
  <c r="G132" i="3" s="1"/>
  <c r="B133" i="3" s="1"/>
  <c r="AI564" i="4" l="1"/>
  <c r="AL563" i="4"/>
  <c r="AH564" i="4"/>
  <c r="AJ564" i="4" s="1"/>
  <c r="AG564" i="4"/>
  <c r="AK564" i="4" s="1"/>
  <c r="AF565" i="4" s="1"/>
  <c r="AJ301" i="4"/>
  <c r="AK301" i="4" s="1"/>
  <c r="AF302" i="4" s="1"/>
  <c r="D133" i="3"/>
  <c r="H132" i="3"/>
  <c r="C133" i="3"/>
  <c r="E133" i="3"/>
  <c r="AH565" i="4" l="1"/>
  <c r="AL564" i="4"/>
  <c r="AI565" i="4"/>
  <c r="AG565" i="4"/>
  <c r="AG302" i="4"/>
  <c r="AH302" i="4"/>
  <c r="AI302" i="4"/>
  <c r="AL301" i="4"/>
  <c r="F133" i="3"/>
  <c r="G133" i="3" s="1"/>
  <c r="B134" i="3" s="1"/>
  <c r="AJ565" i="4" l="1"/>
  <c r="AK565" i="4" s="1"/>
  <c r="AF566" i="4" s="1"/>
  <c r="AJ302" i="4"/>
  <c r="AK302" i="4" s="1"/>
  <c r="AF303" i="4" s="1"/>
  <c r="D134" i="3"/>
  <c r="E134" i="3"/>
  <c r="F134" i="3" s="1"/>
  <c r="C134" i="3"/>
  <c r="H133" i="3"/>
  <c r="AI566" i="4" l="1"/>
  <c r="AL565" i="4"/>
  <c r="AH566" i="4"/>
  <c r="AG566" i="4"/>
  <c r="AG303" i="4"/>
  <c r="AH303" i="4"/>
  <c r="AI303" i="4"/>
  <c r="AL302" i="4"/>
  <c r="G134" i="3"/>
  <c r="B135" i="3" s="1"/>
  <c r="D135" i="3"/>
  <c r="C135" i="3"/>
  <c r="E135" i="3"/>
  <c r="H134" i="3"/>
  <c r="AJ566" i="4" l="1"/>
  <c r="AK566" i="4" s="1"/>
  <c r="AF567" i="4" s="1"/>
  <c r="AJ303" i="4"/>
  <c r="AK303" i="4" s="1"/>
  <c r="AF304" i="4" s="1"/>
  <c r="F135" i="3"/>
  <c r="G135" i="3" s="1"/>
  <c r="B136" i="3" s="1"/>
  <c r="AG567" i="4" l="1"/>
  <c r="AL566" i="4"/>
  <c r="AI567" i="4"/>
  <c r="AH567" i="4"/>
  <c r="AJ567" i="4" s="1"/>
  <c r="AK567" i="4" s="1"/>
  <c r="AF568" i="4" s="1"/>
  <c r="AG304" i="4"/>
  <c r="AH304" i="4"/>
  <c r="AI304" i="4"/>
  <c r="AL303" i="4"/>
  <c r="D136" i="3"/>
  <c r="H135" i="3"/>
  <c r="C136" i="3"/>
  <c r="E136" i="3"/>
  <c r="AI568" i="4" l="1"/>
  <c r="AG568" i="4"/>
  <c r="AL567" i="4"/>
  <c r="AH568" i="4"/>
  <c r="AJ304" i="4"/>
  <c r="AK304" i="4" s="1"/>
  <c r="AF305" i="4" s="1"/>
  <c r="F136" i="3"/>
  <c r="G136" i="3" s="1"/>
  <c r="B137" i="3" s="1"/>
  <c r="AJ568" i="4" l="1"/>
  <c r="AK568" i="4" s="1"/>
  <c r="AF569" i="4" s="1"/>
  <c r="AG305" i="4"/>
  <c r="AK305" i="4" s="1"/>
  <c r="AF306" i="4" s="1"/>
  <c r="AH305" i="4"/>
  <c r="AJ305" i="4" s="1"/>
  <c r="AI305" i="4"/>
  <c r="AL304" i="4"/>
  <c r="E137" i="3"/>
  <c r="H136" i="3"/>
  <c r="C137" i="3"/>
  <c r="D137" i="3"/>
  <c r="F137" i="3" s="1"/>
  <c r="G137" i="3" s="1"/>
  <c r="B138" i="3" s="1"/>
  <c r="AL568" i="4" l="1"/>
  <c r="AI569" i="4"/>
  <c r="AG569" i="4"/>
  <c r="AK569" i="4" s="1"/>
  <c r="AF570" i="4" s="1"/>
  <c r="AH569" i="4"/>
  <c r="AJ569" i="4" s="1"/>
  <c r="AL305" i="4"/>
  <c r="AI306" i="4"/>
  <c r="AH306" i="4"/>
  <c r="AJ306" i="4" s="1"/>
  <c r="AG306" i="4"/>
  <c r="AK306" i="4" s="1"/>
  <c r="AF307" i="4" s="1"/>
  <c r="E138" i="3"/>
  <c r="C138" i="3"/>
  <c r="D138" i="3"/>
  <c r="F138" i="3" s="1"/>
  <c r="H137" i="3"/>
  <c r="AL569" i="4" l="1"/>
  <c r="AH570" i="4"/>
  <c r="AJ570" i="4" s="1"/>
  <c r="AK570" i="4" s="1"/>
  <c r="AF571" i="4" s="1"/>
  <c r="AG570" i="4"/>
  <c r="AI570" i="4"/>
  <c r="AL306" i="4"/>
  <c r="AI307" i="4"/>
  <c r="AH307" i="4"/>
  <c r="AG307" i="4"/>
  <c r="G138" i="3"/>
  <c r="B139" i="3" s="1"/>
  <c r="AL570" i="4" l="1"/>
  <c r="AG571" i="4"/>
  <c r="AH571" i="4"/>
  <c r="AJ571" i="4" s="1"/>
  <c r="AK571" i="4" s="1"/>
  <c r="AF572" i="4" s="1"/>
  <c r="AI571" i="4"/>
  <c r="AJ307" i="4"/>
  <c r="AK307" i="4" s="1"/>
  <c r="AF308" i="4" s="1"/>
  <c r="C139" i="3"/>
  <c r="D139" i="3"/>
  <c r="H138" i="3"/>
  <c r="E139" i="3"/>
  <c r="AI572" i="4" l="1"/>
  <c r="AL571" i="4"/>
  <c r="AH572" i="4"/>
  <c r="AJ572" i="4" s="1"/>
  <c r="AG572" i="4"/>
  <c r="AK572" i="4"/>
  <c r="AF573" i="4" s="1"/>
  <c r="AG308" i="4"/>
  <c r="AH308" i="4"/>
  <c r="AJ308" i="4" s="1"/>
  <c r="AK308" i="4" s="1"/>
  <c r="AF309" i="4" s="1"/>
  <c r="AI308" i="4"/>
  <c r="AL307" i="4"/>
  <c r="F139" i="3"/>
  <c r="G139" i="3" s="1"/>
  <c r="B140" i="3" s="1"/>
  <c r="AG573" i="4" l="1"/>
  <c r="AK573" i="4" s="1"/>
  <c r="AF574" i="4" s="1"/>
  <c r="AL572" i="4"/>
  <c r="AI573" i="4"/>
  <c r="AH573" i="4"/>
  <c r="AJ573" i="4" s="1"/>
  <c r="AL308" i="4"/>
  <c r="AI309" i="4"/>
  <c r="AH309" i="4"/>
  <c r="AJ309" i="4" s="1"/>
  <c r="AG309" i="4"/>
  <c r="AK309" i="4" s="1"/>
  <c r="AF310" i="4" s="1"/>
  <c r="D140" i="3"/>
  <c r="E140" i="3"/>
  <c r="H139" i="3"/>
  <c r="C140" i="3"/>
  <c r="AI574" i="4" l="1"/>
  <c r="AH574" i="4"/>
  <c r="AJ574" i="4" s="1"/>
  <c r="AL573" i="4"/>
  <c r="AG574" i="4"/>
  <c r="AK574" i="4" s="1"/>
  <c r="AF575" i="4" s="1"/>
  <c r="AL309" i="4"/>
  <c r="AI310" i="4"/>
  <c r="AH310" i="4"/>
  <c r="AJ310" i="4" s="1"/>
  <c r="AG310" i="4"/>
  <c r="AK310" i="4" s="1"/>
  <c r="AF311" i="4" s="1"/>
  <c r="F140" i="3"/>
  <c r="G140" i="3" s="1"/>
  <c r="B141" i="3" s="1"/>
  <c r="AL574" i="4" l="1"/>
  <c r="AG575" i="4"/>
  <c r="AH575" i="4"/>
  <c r="AI575" i="4"/>
  <c r="AL310" i="4"/>
  <c r="AI311" i="4"/>
  <c r="AH311" i="4"/>
  <c r="AJ311" i="4" s="1"/>
  <c r="AG311" i="4"/>
  <c r="AK311" i="4" s="1"/>
  <c r="AF312" i="4" s="1"/>
  <c r="E141" i="3"/>
  <c r="H140" i="3"/>
  <c r="C141" i="3"/>
  <c r="D141" i="3"/>
  <c r="F141" i="3" s="1"/>
  <c r="G141" i="3" s="1"/>
  <c r="B142" i="3" s="1"/>
  <c r="AJ575" i="4" l="1"/>
  <c r="AK575" i="4" s="1"/>
  <c r="AF576" i="4" s="1"/>
  <c r="AL311" i="4"/>
  <c r="AI312" i="4"/>
  <c r="AH312" i="4"/>
  <c r="AJ312" i="4" s="1"/>
  <c r="AG312" i="4"/>
  <c r="AK312" i="4" s="1"/>
  <c r="AF313" i="4" s="1"/>
  <c r="E142" i="3"/>
  <c r="H141" i="3"/>
  <c r="D142" i="3"/>
  <c r="F142" i="3" s="1"/>
  <c r="C142" i="3"/>
  <c r="AH576" i="4" l="1"/>
  <c r="AG576" i="4"/>
  <c r="AI576" i="4"/>
  <c r="AL575" i="4"/>
  <c r="AL312" i="4"/>
  <c r="AK313" i="4"/>
  <c r="AF314" i="4" s="1"/>
  <c r="AI313" i="4"/>
  <c r="AH313" i="4"/>
  <c r="AJ313" i="4" s="1"/>
  <c r="AG313" i="4"/>
  <c r="G142" i="3"/>
  <c r="B143" i="3" s="1"/>
  <c r="AJ576" i="4" l="1"/>
  <c r="AK576" i="4" s="1"/>
  <c r="AF577" i="4" s="1"/>
  <c r="AL313" i="4"/>
  <c r="AI314" i="4"/>
  <c r="AH314" i="4"/>
  <c r="AJ314" i="4" s="1"/>
  <c r="AK314" i="4" s="1"/>
  <c r="AF315" i="4" s="1"/>
  <c r="AG314" i="4"/>
  <c r="D143" i="3"/>
  <c r="C143" i="3"/>
  <c r="E143" i="3"/>
  <c r="F143" i="3" s="1"/>
  <c r="H142" i="3"/>
  <c r="G143" i="3"/>
  <c r="B144" i="3" s="1"/>
  <c r="AI577" i="4" l="1"/>
  <c r="AL576" i="4"/>
  <c r="AH577" i="4"/>
  <c r="AJ577" i="4" s="1"/>
  <c r="AG577" i="4"/>
  <c r="AK577" i="4" s="1"/>
  <c r="AF578" i="4" s="1"/>
  <c r="AL314" i="4"/>
  <c r="AK315" i="4"/>
  <c r="AF316" i="4" s="1"/>
  <c r="AI315" i="4"/>
  <c r="AH315" i="4"/>
  <c r="AJ315" i="4" s="1"/>
  <c r="AG315" i="4"/>
  <c r="D144" i="3"/>
  <c r="H143" i="3"/>
  <c r="E144" i="3"/>
  <c r="C144" i="3"/>
  <c r="AI578" i="4" l="1"/>
  <c r="AG578" i="4"/>
  <c r="AH578" i="4"/>
  <c r="AJ578" i="4" s="1"/>
  <c r="AK578" i="4" s="1"/>
  <c r="AF579" i="4" s="1"/>
  <c r="AL577" i="4"/>
  <c r="AL315" i="4"/>
  <c r="AI316" i="4"/>
  <c r="AH316" i="4"/>
  <c r="AJ316" i="4" s="1"/>
  <c r="AK316" i="4" s="1"/>
  <c r="AF317" i="4" s="1"/>
  <c r="AG316" i="4"/>
  <c r="F144" i="3"/>
  <c r="G144" i="3" s="1"/>
  <c r="B145" i="3" s="1"/>
  <c r="AG579" i="4" l="1"/>
  <c r="AK579" i="4"/>
  <c r="AF580" i="4" s="1"/>
  <c r="AI579" i="4"/>
  <c r="AL578" i="4"/>
  <c r="AH579" i="4"/>
  <c r="AJ579" i="4" s="1"/>
  <c r="AL316" i="4"/>
  <c r="AI317" i="4"/>
  <c r="AH317" i="4"/>
  <c r="AJ317" i="4" s="1"/>
  <c r="AK317" i="4" s="1"/>
  <c r="AF318" i="4" s="1"/>
  <c r="AG317" i="4"/>
  <c r="H144" i="3"/>
  <c r="E145" i="3"/>
  <c r="D145" i="3"/>
  <c r="F145" i="3" s="1"/>
  <c r="C145" i="3"/>
  <c r="AG580" i="4" l="1"/>
  <c r="AH580" i="4"/>
  <c r="AJ580" i="4" s="1"/>
  <c r="AL579" i="4"/>
  <c r="AK580" i="4"/>
  <c r="AF581" i="4" s="1"/>
  <c r="AI580" i="4"/>
  <c r="AL317" i="4"/>
  <c r="AI318" i="4"/>
  <c r="AH318" i="4"/>
  <c r="AJ318" i="4" s="1"/>
  <c r="AG318" i="4"/>
  <c r="AK318" i="4" s="1"/>
  <c r="AF319" i="4" s="1"/>
  <c r="G145" i="3"/>
  <c r="B146" i="3" s="1"/>
  <c r="AG581" i="4" l="1"/>
  <c r="AI581" i="4"/>
  <c r="AH581" i="4"/>
  <c r="AJ581" i="4" s="1"/>
  <c r="AK581" i="4" s="1"/>
  <c r="AF582" i="4" s="1"/>
  <c r="AL580" i="4"/>
  <c r="AL318" i="4"/>
  <c r="AK319" i="4"/>
  <c r="AF320" i="4" s="1"/>
  <c r="AI319" i="4"/>
  <c r="AH319" i="4"/>
  <c r="AJ319" i="4" s="1"/>
  <c r="AG319" i="4"/>
  <c r="H145" i="3"/>
  <c r="D146" i="3"/>
  <c r="C146" i="3"/>
  <c r="E146" i="3"/>
  <c r="AG582" i="4" l="1"/>
  <c r="AI582" i="4"/>
  <c r="AH582" i="4"/>
  <c r="AL581" i="4"/>
  <c r="AL319" i="4"/>
  <c r="AI320" i="4"/>
  <c r="AH320" i="4"/>
  <c r="AJ320" i="4" s="1"/>
  <c r="AK320" i="4" s="1"/>
  <c r="AF321" i="4" s="1"/>
  <c r="AG320" i="4"/>
  <c r="F146" i="3"/>
  <c r="G146" i="3" s="1"/>
  <c r="B147" i="3" s="1"/>
  <c r="AJ582" i="4" l="1"/>
  <c r="AK582" i="4" s="1"/>
  <c r="AF583" i="4" s="1"/>
  <c r="AL320" i="4"/>
  <c r="AK321" i="4"/>
  <c r="AF322" i="4" s="1"/>
  <c r="AI321" i="4"/>
  <c r="AH321" i="4"/>
  <c r="AJ321" i="4" s="1"/>
  <c r="AG321" i="4"/>
  <c r="C147" i="3"/>
  <c r="E147" i="3"/>
  <c r="D147" i="3"/>
  <c r="F147" i="3" s="1"/>
  <c r="H146" i="3"/>
  <c r="AH583" i="4" l="1"/>
  <c r="AI583" i="4"/>
  <c r="AG583" i="4"/>
  <c r="AL582" i="4"/>
  <c r="AL321" i="4"/>
  <c r="AI322" i="4"/>
  <c r="AH322" i="4"/>
  <c r="AJ322" i="4" s="1"/>
  <c r="AG322" i="4"/>
  <c r="AK322" i="4" s="1"/>
  <c r="AF323" i="4" s="1"/>
  <c r="G147" i="3"/>
  <c r="B148" i="3" s="1"/>
  <c r="E148" i="3"/>
  <c r="H147" i="3"/>
  <c r="D148" i="3"/>
  <c r="F148" i="3" s="1"/>
  <c r="C148" i="3"/>
  <c r="AJ583" i="4" l="1"/>
  <c r="AK583" i="4" s="1"/>
  <c r="AF584" i="4" s="1"/>
  <c r="AL322" i="4"/>
  <c r="AK323" i="4"/>
  <c r="AF324" i="4" s="1"/>
  <c r="AI323" i="4"/>
  <c r="AH323" i="4"/>
  <c r="AJ323" i="4" s="1"/>
  <c r="AG323" i="4"/>
  <c r="G148" i="3"/>
  <c r="B149" i="3" s="1"/>
  <c r="AL583" i="4" l="1"/>
  <c r="AH584" i="4"/>
  <c r="AI584" i="4"/>
  <c r="AG584" i="4"/>
  <c r="AL323" i="4"/>
  <c r="AI324" i="4"/>
  <c r="AH324" i="4"/>
  <c r="AG324" i="4"/>
  <c r="E149" i="3"/>
  <c r="D149" i="3"/>
  <c r="F149" i="3" s="1"/>
  <c r="H148" i="3"/>
  <c r="C149" i="3"/>
  <c r="G149" i="3" s="1"/>
  <c r="B150" i="3" s="1"/>
  <c r="AJ584" i="4" l="1"/>
  <c r="AK584" i="4" s="1"/>
  <c r="AF585" i="4" s="1"/>
  <c r="AJ324" i="4"/>
  <c r="AK324" i="4" s="1"/>
  <c r="AF325" i="4" s="1"/>
  <c r="C150" i="3"/>
  <c r="H149" i="3"/>
  <c r="E150" i="3"/>
  <c r="D150" i="3"/>
  <c r="F150" i="3" s="1"/>
  <c r="G150" i="3" s="1"/>
  <c r="B151" i="3" s="1"/>
  <c r="AI585" i="4" l="1"/>
  <c r="AL584" i="4"/>
  <c r="AG585" i="4"/>
  <c r="AH585" i="4"/>
  <c r="AJ585" i="4" s="1"/>
  <c r="AK585" i="4" s="1"/>
  <c r="AF586" i="4" s="1"/>
  <c r="AG325" i="4"/>
  <c r="AH325" i="4"/>
  <c r="AI325" i="4"/>
  <c r="AL324" i="4"/>
  <c r="C151" i="3"/>
  <c r="E151" i="3"/>
  <c r="H150" i="3"/>
  <c r="D151" i="3"/>
  <c r="F151" i="3" s="1"/>
  <c r="G151" i="3" s="1"/>
  <c r="B152" i="3" s="1"/>
  <c r="AI586" i="4" l="1"/>
  <c r="AL585" i="4"/>
  <c r="AG586" i="4"/>
  <c r="AH586" i="4"/>
  <c r="AJ325" i="4"/>
  <c r="AK325" i="4" s="1"/>
  <c r="AF326" i="4" s="1"/>
  <c r="D152" i="3"/>
  <c r="H151" i="3"/>
  <c r="C152" i="3"/>
  <c r="E152" i="3"/>
  <c r="F152" i="3" s="1"/>
  <c r="G152" i="3" s="1"/>
  <c r="B153" i="3" s="1"/>
  <c r="AJ586" i="4" l="1"/>
  <c r="AK586" i="4" s="1"/>
  <c r="AF587" i="4" s="1"/>
  <c r="AG326" i="4"/>
  <c r="AH326" i="4"/>
  <c r="AI326" i="4"/>
  <c r="AL325" i="4"/>
  <c r="E153" i="3"/>
  <c r="H152" i="3"/>
  <c r="D153" i="3"/>
  <c r="C153" i="3"/>
  <c r="AH587" i="4" l="1"/>
  <c r="AI587" i="4"/>
  <c r="AG587" i="4"/>
  <c r="AL586" i="4"/>
  <c r="AJ326" i="4"/>
  <c r="AK326" i="4" s="1"/>
  <c r="AF327" i="4" s="1"/>
  <c r="F153" i="3"/>
  <c r="G153" i="3" s="1"/>
  <c r="B154" i="3" s="1"/>
  <c r="AJ587" i="4" l="1"/>
  <c r="AK587" i="4" s="1"/>
  <c r="AF588" i="4" s="1"/>
  <c r="AG327" i="4"/>
  <c r="AH327" i="4"/>
  <c r="AJ327" i="4" s="1"/>
  <c r="AK327" i="4" s="1"/>
  <c r="AF328" i="4" s="1"/>
  <c r="AI327" i="4"/>
  <c r="AL326" i="4"/>
  <c r="C154" i="3"/>
  <c r="E154" i="3"/>
  <c r="H153" i="3"/>
  <c r="D154" i="3"/>
  <c r="F154" i="3" s="1"/>
  <c r="AG588" i="4" l="1"/>
  <c r="AI588" i="4"/>
  <c r="AL587" i="4"/>
  <c r="AH588" i="4"/>
  <c r="AL327" i="4"/>
  <c r="AI328" i="4"/>
  <c r="AH328" i="4"/>
  <c r="AJ328" i="4" s="1"/>
  <c r="AG328" i="4"/>
  <c r="AK328" i="4" s="1"/>
  <c r="AF329" i="4" s="1"/>
  <c r="G154" i="3"/>
  <c r="B155" i="3" s="1"/>
  <c r="AJ588" i="4" l="1"/>
  <c r="AK588" i="4" s="1"/>
  <c r="AF589" i="4" s="1"/>
  <c r="AL328" i="4"/>
  <c r="AI329" i="4"/>
  <c r="AH329" i="4"/>
  <c r="AJ329" i="4" s="1"/>
  <c r="AG329" i="4"/>
  <c r="AK329" i="4" s="1"/>
  <c r="AF330" i="4" s="1"/>
  <c r="E155" i="3"/>
  <c r="D155" i="3"/>
  <c r="F155" i="3" s="1"/>
  <c r="H154" i="3"/>
  <c r="C155" i="3"/>
  <c r="AL588" i="4" l="1"/>
  <c r="AG589" i="4"/>
  <c r="AH589" i="4"/>
  <c r="AJ589" i="4" s="1"/>
  <c r="AK589" i="4" s="1"/>
  <c r="AF590" i="4" s="1"/>
  <c r="AI589" i="4"/>
  <c r="AL329" i="4"/>
  <c r="AI330" i="4"/>
  <c r="AH330" i="4"/>
  <c r="AG330" i="4"/>
  <c r="G155" i="3"/>
  <c r="B156" i="3" s="1"/>
  <c r="AG590" i="4" l="1"/>
  <c r="AK590" i="4" s="1"/>
  <c r="AF591" i="4" s="1"/>
  <c r="AL589" i="4"/>
  <c r="AI590" i="4"/>
  <c r="AH590" i="4"/>
  <c r="AJ590" i="4" s="1"/>
  <c r="AJ330" i="4"/>
  <c r="AK330" i="4" s="1"/>
  <c r="AF331" i="4" s="1"/>
  <c r="H155" i="3"/>
  <c r="D156" i="3"/>
  <c r="E156" i="3"/>
  <c r="C156" i="3"/>
  <c r="AH591" i="4" l="1"/>
  <c r="AL591" i="4"/>
  <c r="AG591" i="4"/>
  <c r="AL590" i="4"/>
  <c r="AI591" i="4"/>
  <c r="AG331" i="4"/>
  <c r="AH331" i="4"/>
  <c r="AJ331" i="4" s="1"/>
  <c r="AK331" i="4" s="1"/>
  <c r="AF332" i="4" s="1"/>
  <c r="AI331" i="4"/>
  <c r="AL330" i="4"/>
  <c r="F156" i="3"/>
  <c r="G156" i="3" s="1"/>
  <c r="B157" i="3" s="1"/>
  <c r="AJ591" i="4" l="1"/>
  <c r="AK591" i="4" s="1"/>
  <c r="AL331" i="4"/>
  <c r="AI332" i="4"/>
  <c r="AH332" i="4"/>
  <c r="AJ332" i="4" s="1"/>
  <c r="AG332" i="4"/>
  <c r="AK332" i="4" s="1"/>
  <c r="AF333" i="4" s="1"/>
  <c r="D157" i="3"/>
  <c r="E157" i="3"/>
  <c r="F157" i="3" s="1"/>
  <c r="H156" i="3"/>
  <c r="C157" i="3"/>
  <c r="G157" i="3" s="1"/>
  <c r="B158" i="3" s="1"/>
  <c r="AI333" i="4" l="1"/>
  <c r="AH333" i="4"/>
  <c r="AJ333" i="4" s="1"/>
  <c r="AL332" i="4"/>
  <c r="AG333" i="4"/>
  <c r="AK333" i="4" s="1"/>
  <c r="AF334" i="4" s="1"/>
  <c r="H157" i="3"/>
  <c r="E158" i="3"/>
  <c r="C158" i="3"/>
  <c r="D158" i="3"/>
  <c r="F158" i="3" s="1"/>
  <c r="G158" i="3" s="1"/>
  <c r="B159" i="3" s="1"/>
  <c r="H158" i="3" s="1"/>
  <c r="AL333" i="4" l="1"/>
  <c r="AI334" i="4"/>
  <c r="AG334" i="4"/>
  <c r="AK334" i="4" s="1"/>
  <c r="AF335" i="4" s="1"/>
  <c r="AH334" i="4"/>
  <c r="AJ334" i="4" s="1"/>
  <c r="E159" i="3"/>
  <c r="C159" i="3"/>
  <c r="D159" i="3"/>
  <c r="F159" i="3" s="1"/>
  <c r="AG335" i="4" l="1"/>
  <c r="AH335" i="4"/>
  <c r="AL334" i="4"/>
  <c r="AI335" i="4"/>
  <c r="G159" i="3"/>
  <c r="B160" i="3" s="1"/>
  <c r="C160" i="3" s="1"/>
  <c r="E160" i="3"/>
  <c r="D160" i="3"/>
  <c r="H159" i="3"/>
  <c r="F160" i="3"/>
  <c r="G160" i="3" s="1"/>
  <c r="B161" i="3" s="1"/>
  <c r="AJ335" i="4" l="1"/>
  <c r="AK335" i="4" s="1"/>
  <c r="AF336" i="4" s="1"/>
  <c r="C161" i="3"/>
  <c r="H160" i="3"/>
  <c r="E161" i="3"/>
  <c r="D161" i="3"/>
  <c r="F161" i="3" s="1"/>
  <c r="G161" i="3" s="1"/>
  <c r="B162" i="3" s="1"/>
  <c r="AL335" i="4" l="1"/>
  <c r="AG336" i="4"/>
  <c r="AH336" i="4"/>
  <c r="AJ336" i="4" s="1"/>
  <c r="AK336" i="4" s="1"/>
  <c r="AF337" i="4" s="1"/>
  <c r="AI336" i="4"/>
  <c r="D162" i="3"/>
  <c r="H161" i="3"/>
  <c r="C162" i="3"/>
  <c r="E162" i="3"/>
  <c r="AI337" i="4" l="1"/>
  <c r="AL336" i="4"/>
  <c r="AH337" i="4"/>
  <c r="AJ337" i="4" s="1"/>
  <c r="AK337" i="4" s="1"/>
  <c r="AF338" i="4" s="1"/>
  <c r="AG337" i="4"/>
  <c r="F162" i="3"/>
  <c r="G162" i="3" s="1"/>
  <c r="B163" i="3" s="1"/>
  <c r="AH338" i="4" l="1"/>
  <c r="AJ338" i="4" s="1"/>
  <c r="AL337" i="4"/>
  <c r="AI338" i="4"/>
  <c r="AG338" i="4"/>
  <c r="AK338" i="4" s="1"/>
  <c r="AF339" i="4" s="1"/>
  <c r="D163" i="3"/>
  <c r="H162" i="3"/>
  <c r="C163" i="3"/>
  <c r="E163" i="3"/>
  <c r="AH339" i="4" l="1"/>
  <c r="AJ339" i="4" s="1"/>
  <c r="AG339" i="4"/>
  <c r="AK339" i="4" s="1"/>
  <c r="AF340" i="4" s="1"/>
  <c r="AI339" i="4"/>
  <c r="AL338" i="4"/>
  <c r="F163" i="3"/>
  <c r="G163" i="3" s="1"/>
  <c r="B164" i="3" s="1"/>
  <c r="AH340" i="4" l="1"/>
  <c r="AJ340" i="4" s="1"/>
  <c r="AG340" i="4"/>
  <c r="AK340" i="4" s="1"/>
  <c r="AF341" i="4" s="1"/>
  <c r="AI340" i="4"/>
  <c r="AL339" i="4"/>
  <c r="E164" i="3"/>
  <c r="C164" i="3"/>
  <c r="D164" i="3"/>
  <c r="H163" i="3"/>
  <c r="AG341" i="4" l="1"/>
  <c r="AI341" i="4"/>
  <c r="AL340" i="4"/>
  <c r="AH341" i="4"/>
  <c r="F164" i="3"/>
  <c r="G164" i="3" s="1"/>
  <c r="B165" i="3" s="1"/>
  <c r="AJ341" i="4" l="1"/>
  <c r="AK341" i="4" s="1"/>
  <c r="AF342" i="4" s="1"/>
  <c r="E165" i="3"/>
  <c r="D165" i="3"/>
  <c r="F165" i="3" s="1"/>
  <c r="H164" i="3"/>
  <c r="C165" i="3"/>
  <c r="G165" i="3" s="1"/>
  <c r="B166" i="3" s="1"/>
  <c r="E166" i="3" s="1"/>
  <c r="AG342" i="4" l="1"/>
  <c r="AH342" i="4"/>
  <c r="AL341" i="4"/>
  <c r="AI342" i="4"/>
  <c r="H165" i="3"/>
  <c r="C166" i="3"/>
  <c r="D166" i="3"/>
  <c r="F166" i="3" s="1"/>
  <c r="G166" i="3" s="1"/>
  <c r="B167" i="3" s="1"/>
  <c r="AJ342" i="4" l="1"/>
  <c r="AK342" i="4" s="1"/>
  <c r="AF343" i="4" s="1"/>
  <c r="E167" i="3"/>
  <c r="C167" i="3"/>
  <c r="D167" i="3"/>
  <c r="H166" i="3"/>
  <c r="AL342" i="4" l="1"/>
  <c r="AH343" i="4"/>
  <c r="AJ343" i="4" s="1"/>
  <c r="AK343" i="4" s="1"/>
  <c r="AF344" i="4" s="1"/>
  <c r="AG343" i="4"/>
  <c r="AI343" i="4"/>
  <c r="F167" i="3"/>
  <c r="G167" i="3" s="1"/>
  <c r="B168" i="3" s="1"/>
  <c r="D168" i="3" s="1"/>
  <c r="AH344" i="4" l="1"/>
  <c r="AJ344" i="4" s="1"/>
  <c r="AI344" i="4"/>
  <c r="AG344" i="4"/>
  <c r="AK344" i="4" s="1"/>
  <c r="AF345" i="4" s="1"/>
  <c r="AL343" i="4"/>
  <c r="C168" i="3"/>
  <c r="H167" i="3"/>
  <c r="E168" i="3"/>
  <c r="F168" i="3" s="1"/>
  <c r="G168" i="3" s="1"/>
  <c r="B169" i="3" s="1"/>
  <c r="AH345" i="4" l="1"/>
  <c r="AJ345" i="4" s="1"/>
  <c r="AL344" i="4"/>
  <c r="AK345" i="4"/>
  <c r="AF346" i="4" s="1"/>
  <c r="AI345" i="4"/>
  <c r="AG345" i="4"/>
  <c r="C169" i="3"/>
  <c r="D169" i="3"/>
  <c r="E169" i="3"/>
  <c r="H168" i="3"/>
  <c r="AG346" i="4" l="1"/>
  <c r="AK346" i="4" s="1"/>
  <c r="AF347" i="4" s="1"/>
  <c r="AH346" i="4"/>
  <c r="AJ346" i="4" s="1"/>
  <c r="AL345" i="4"/>
  <c r="AI346" i="4"/>
  <c r="F169" i="3"/>
  <c r="G169" i="3" s="1"/>
  <c r="B170" i="3" s="1"/>
  <c r="AG347" i="4" l="1"/>
  <c r="AH347" i="4"/>
  <c r="AI347" i="4"/>
  <c r="AL346" i="4"/>
  <c r="E170" i="3"/>
  <c r="C170" i="3"/>
  <c r="D170" i="3"/>
  <c r="H169" i="3"/>
  <c r="AJ347" i="4" l="1"/>
  <c r="AK347" i="4" s="1"/>
  <c r="AF348" i="4" s="1"/>
  <c r="F170" i="3"/>
  <c r="G170" i="3" s="1"/>
  <c r="B171" i="3" s="1"/>
  <c r="D171" i="3" s="1"/>
  <c r="AG348" i="4" l="1"/>
  <c r="AI348" i="4"/>
  <c r="AL347" i="4"/>
  <c r="AH348" i="4"/>
  <c r="AJ348" i="4" s="1"/>
  <c r="AK348" i="4" s="1"/>
  <c r="AF349" i="4" s="1"/>
  <c r="H170" i="3"/>
  <c r="C171" i="3"/>
  <c r="E171" i="3"/>
  <c r="F171" i="3" s="1"/>
  <c r="AH349" i="4" l="1"/>
  <c r="AG349" i="4"/>
  <c r="AL348" i="4"/>
  <c r="AI349" i="4"/>
  <c r="G171" i="3"/>
  <c r="B172" i="3" s="1"/>
  <c r="H171" i="3" s="1"/>
  <c r="AJ349" i="4" l="1"/>
  <c r="AK349" i="4" s="1"/>
  <c r="AF350" i="4" s="1"/>
  <c r="D172" i="3"/>
  <c r="C172" i="3"/>
  <c r="E172" i="3"/>
  <c r="AH350" i="4" l="1"/>
  <c r="AJ350" i="4" s="1"/>
  <c r="AG350" i="4"/>
  <c r="AK350" i="4" s="1"/>
  <c r="AF351" i="4" s="1"/>
  <c r="AI350" i="4"/>
  <c r="AL349" i="4"/>
  <c r="F172" i="3"/>
  <c r="G172" i="3" s="1"/>
  <c r="B173" i="3" s="1"/>
  <c r="D173" i="3" s="1"/>
  <c r="AI351" i="4" l="1"/>
  <c r="AG351" i="4"/>
  <c r="AH351" i="4"/>
  <c r="AJ351" i="4" s="1"/>
  <c r="AK351" i="4" s="1"/>
  <c r="AF352" i="4" s="1"/>
  <c r="AL350" i="4"/>
  <c r="E173" i="3"/>
  <c r="F173" i="3" s="1"/>
  <c r="G173" i="3" s="1"/>
  <c r="B174" i="3" s="1"/>
  <c r="E174" i="3" s="1"/>
  <c r="C173" i="3"/>
  <c r="H172" i="3"/>
  <c r="AI352" i="4" l="1"/>
  <c r="AL351" i="4"/>
  <c r="AH352" i="4"/>
  <c r="AJ352" i="4" s="1"/>
  <c r="AG352" i="4"/>
  <c r="AK352" i="4"/>
  <c r="AF353" i="4" s="1"/>
  <c r="H173" i="3"/>
  <c r="C174" i="3"/>
  <c r="D174" i="3"/>
  <c r="F174" i="3" s="1"/>
  <c r="G174" i="3" s="1"/>
  <c r="B175" i="3" s="1"/>
  <c r="AH353" i="4" l="1"/>
  <c r="AL352" i="4"/>
  <c r="AI353" i="4"/>
  <c r="AG353" i="4"/>
  <c r="H174" i="3"/>
  <c r="E175" i="3"/>
  <c r="D175" i="3"/>
  <c r="C175" i="3"/>
  <c r="AJ353" i="4" l="1"/>
  <c r="AK353" i="4" s="1"/>
  <c r="AF354" i="4" s="1"/>
  <c r="F175" i="3"/>
  <c r="G175" i="3" s="1"/>
  <c r="B176" i="3" s="1"/>
  <c r="AH354" i="4" l="1"/>
  <c r="AL353" i="4"/>
  <c r="AI354" i="4"/>
  <c r="AG354" i="4"/>
  <c r="C176" i="3"/>
  <c r="D176" i="3"/>
  <c r="H175" i="3"/>
  <c r="E176" i="3"/>
  <c r="AJ354" i="4" l="1"/>
  <c r="AK354" i="4" s="1"/>
  <c r="AF355" i="4" s="1"/>
  <c r="F176" i="3"/>
  <c r="G176" i="3" s="1"/>
  <c r="B177" i="3" s="1"/>
  <c r="AH355" i="4" l="1"/>
  <c r="AG355" i="4"/>
  <c r="AL354" i="4"/>
  <c r="AI355" i="4"/>
  <c r="E177" i="3"/>
  <c r="C177" i="3"/>
  <c r="H176" i="3"/>
  <c r="D177" i="3"/>
  <c r="AJ355" i="4" l="1"/>
  <c r="AK355" i="4" s="1"/>
  <c r="AF356" i="4" s="1"/>
  <c r="F177" i="3"/>
  <c r="G177" i="3" s="1"/>
  <c r="B178" i="3" s="1"/>
  <c r="D178" i="3" s="1"/>
  <c r="AI356" i="4" l="1"/>
  <c r="AG356" i="4"/>
  <c r="AK356" i="4" s="1"/>
  <c r="AF357" i="4" s="1"/>
  <c r="AH356" i="4"/>
  <c r="AJ356" i="4" s="1"/>
  <c r="AL355" i="4"/>
  <c r="E178" i="3"/>
  <c r="C178" i="3"/>
  <c r="H177" i="3"/>
  <c r="F178" i="3"/>
  <c r="G178" i="3" s="1"/>
  <c r="B179" i="3" s="1"/>
  <c r="AI357" i="4" l="1"/>
  <c r="AG357" i="4"/>
  <c r="AL356" i="4"/>
  <c r="AH357" i="4"/>
  <c r="C179" i="3"/>
  <c r="H178" i="3"/>
  <c r="D179" i="3"/>
  <c r="E179" i="3"/>
  <c r="AJ357" i="4" l="1"/>
  <c r="AK357" i="4" s="1"/>
  <c r="AF358" i="4" s="1"/>
  <c r="F179" i="3"/>
  <c r="G179" i="3" s="1"/>
  <c r="B180" i="3" s="1"/>
  <c r="AI358" i="4" l="1"/>
  <c r="AL357" i="4"/>
  <c r="AH358" i="4"/>
  <c r="AJ358" i="4" s="1"/>
  <c r="AG358" i="4"/>
  <c r="AK358" i="4" s="1"/>
  <c r="AF359" i="4" s="1"/>
  <c r="C180" i="3"/>
  <c r="E180" i="3"/>
  <c r="H179" i="3"/>
  <c r="D180" i="3"/>
  <c r="AI359" i="4" l="1"/>
  <c r="AH359" i="4"/>
  <c r="AJ359" i="4" s="1"/>
  <c r="AK359" i="4" s="1"/>
  <c r="AF360" i="4" s="1"/>
  <c r="AG359" i="4"/>
  <c r="AL358" i="4"/>
  <c r="F180" i="3"/>
  <c r="G180" i="3" s="1"/>
  <c r="B181" i="3" s="1"/>
  <c r="H180" i="3" s="1"/>
  <c r="AL359" i="4" l="1"/>
  <c r="AH360" i="4"/>
  <c r="AJ360" i="4" s="1"/>
  <c r="AK360" i="4" s="1"/>
  <c r="AF361" i="4" s="1"/>
  <c r="AI360" i="4"/>
  <c r="AG360" i="4"/>
  <c r="D181" i="3"/>
  <c r="C181" i="3"/>
  <c r="E181" i="3"/>
  <c r="F181" i="3" s="1"/>
  <c r="G181" i="3" s="1"/>
  <c r="B182" i="3" s="1"/>
  <c r="AI361" i="4" l="1"/>
  <c r="AG361" i="4"/>
  <c r="AH361" i="4"/>
  <c r="AL360" i="4"/>
  <c r="E182" i="3"/>
  <c r="D182" i="3"/>
  <c r="C182" i="3"/>
  <c r="H181" i="3"/>
  <c r="AJ361" i="4" l="1"/>
  <c r="AK361" i="4" s="1"/>
  <c r="AF362" i="4" s="1"/>
  <c r="F182" i="3"/>
  <c r="G182" i="3"/>
  <c r="B183" i="3" s="1"/>
  <c r="D183" i="3"/>
  <c r="E183" i="3"/>
  <c r="C183" i="3"/>
  <c r="H182" i="3"/>
  <c r="AI362" i="4" l="1"/>
  <c r="AH362" i="4"/>
  <c r="AG362" i="4"/>
  <c r="AL361" i="4"/>
  <c r="F183" i="3"/>
  <c r="G183" i="3" s="1"/>
  <c r="B184" i="3" s="1"/>
  <c r="AJ362" i="4" l="1"/>
  <c r="AK362" i="4" s="1"/>
  <c r="AF363" i="4" s="1"/>
  <c r="H183" i="3"/>
  <c r="E184" i="3"/>
  <c r="C184" i="3"/>
  <c r="D184" i="3"/>
  <c r="F184" i="3" s="1"/>
  <c r="AG363" i="4" l="1"/>
  <c r="AH363" i="4"/>
  <c r="AL362" i="4"/>
  <c r="AI363" i="4"/>
  <c r="G184" i="3"/>
  <c r="B185" i="3" s="1"/>
  <c r="E185" i="3" s="1"/>
  <c r="AJ363" i="4" l="1"/>
  <c r="AK363" i="4" s="1"/>
  <c r="AF364" i="4" s="1"/>
  <c r="H184" i="3"/>
  <c r="C185" i="3"/>
  <c r="D185" i="3"/>
  <c r="F185" i="3" s="1"/>
  <c r="G185" i="3" s="1"/>
  <c r="B186" i="3" s="1"/>
  <c r="AG364" i="4" l="1"/>
  <c r="AI364" i="4"/>
  <c r="AH364" i="4"/>
  <c r="AJ364" i="4" s="1"/>
  <c r="AK364" i="4" s="1"/>
  <c r="AF365" i="4" s="1"/>
  <c r="AL363" i="4"/>
  <c r="H185" i="3"/>
  <c r="D186" i="3"/>
  <c r="C186" i="3"/>
  <c r="E186" i="3"/>
  <c r="AH365" i="4" l="1"/>
  <c r="AI365" i="4"/>
  <c r="AL364" i="4"/>
  <c r="AG365" i="4"/>
  <c r="F186" i="3"/>
  <c r="G186" i="3" s="1"/>
  <c r="B187" i="3" s="1"/>
  <c r="D187" i="3" s="1"/>
  <c r="AJ365" i="4" l="1"/>
  <c r="AK365" i="4" s="1"/>
  <c r="AF366" i="4" s="1"/>
  <c r="C187" i="3"/>
  <c r="E187" i="3"/>
  <c r="F187" i="3" s="1"/>
  <c r="H186" i="3"/>
  <c r="AH366" i="4" l="1"/>
  <c r="AI366" i="4"/>
  <c r="AL365" i="4"/>
  <c r="AG366" i="4"/>
  <c r="G187" i="3"/>
  <c r="B188" i="3" s="1"/>
  <c r="AJ366" i="4" l="1"/>
  <c r="AK366" i="4" s="1"/>
  <c r="AF367" i="4" s="1"/>
  <c r="H187" i="3"/>
  <c r="D188" i="3"/>
  <c r="C188" i="3"/>
  <c r="E188" i="3"/>
  <c r="AI367" i="4" l="1"/>
  <c r="AG367" i="4"/>
  <c r="AH367" i="4"/>
  <c r="AL366" i="4"/>
  <c r="F188" i="3"/>
  <c r="G188" i="3" s="1"/>
  <c r="B189" i="3" s="1"/>
  <c r="AJ367" i="4" l="1"/>
  <c r="AK367" i="4" s="1"/>
  <c r="AF368" i="4" s="1"/>
  <c r="D189" i="3"/>
  <c r="E189" i="3"/>
  <c r="H188" i="3"/>
  <c r="C189" i="3"/>
  <c r="AG368" i="4" l="1"/>
  <c r="AL367" i="4"/>
  <c r="AI368" i="4"/>
  <c r="AH368" i="4"/>
  <c r="AJ368" i="4" s="1"/>
  <c r="AK368" i="4" s="1"/>
  <c r="AF369" i="4" s="1"/>
  <c r="F189" i="3"/>
  <c r="G189" i="3" s="1"/>
  <c r="B190" i="3" s="1"/>
  <c r="H189" i="3"/>
  <c r="E190" i="3"/>
  <c r="D190" i="3"/>
  <c r="F190" i="3" s="1"/>
  <c r="C190" i="3"/>
  <c r="AL368" i="4" l="1"/>
  <c r="AH369" i="4"/>
  <c r="AG369" i="4"/>
  <c r="AI369" i="4"/>
  <c r="G190" i="3"/>
  <c r="B191" i="3" s="1"/>
  <c r="E191" i="3"/>
  <c r="C191" i="3"/>
  <c r="D191" i="3"/>
  <c r="H190" i="3"/>
  <c r="F191" i="3"/>
  <c r="G191" i="3" s="1"/>
  <c r="B192" i="3" s="1"/>
  <c r="AJ369" i="4" l="1"/>
  <c r="AK369" i="4" s="1"/>
  <c r="AF370" i="4" s="1"/>
  <c r="C192" i="3"/>
  <c r="E192" i="3"/>
  <c r="H191" i="3"/>
  <c r="D192" i="3"/>
  <c r="F192" i="3" s="1"/>
  <c r="G192" i="3" s="1"/>
  <c r="B193" i="3" s="1"/>
  <c r="AH370" i="4" l="1"/>
  <c r="AL369" i="4"/>
  <c r="AI370" i="4"/>
  <c r="AG370" i="4"/>
  <c r="D193" i="3"/>
  <c r="E193" i="3"/>
  <c r="C193" i="3"/>
  <c r="H192" i="3"/>
  <c r="AJ370" i="4" l="1"/>
  <c r="AK370" i="4" s="1"/>
  <c r="AF371" i="4" s="1"/>
  <c r="F193" i="3"/>
  <c r="G193" i="3" s="1"/>
  <c r="B194" i="3" s="1"/>
  <c r="AH371" i="4" l="1"/>
  <c r="AG371" i="4"/>
  <c r="AI371" i="4"/>
  <c r="AL370" i="4"/>
  <c r="D194" i="3"/>
  <c r="C194" i="3"/>
  <c r="H193" i="3"/>
  <c r="E194" i="3"/>
  <c r="AJ371" i="4" l="1"/>
  <c r="AK371" i="4" s="1"/>
  <c r="AF372" i="4" s="1"/>
  <c r="F194" i="3"/>
  <c r="G194" i="3" s="1"/>
  <c r="B195" i="3" s="1"/>
  <c r="AG372" i="4" l="1"/>
  <c r="AI372" i="4"/>
  <c r="AH372" i="4"/>
  <c r="AL371" i="4"/>
  <c r="H194" i="3"/>
  <c r="E195" i="3"/>
  <c r="C195" i="3"/>
  <c r="D195" i="3"/>
  <c r="F195" i="3" s="1"/>
  <c r="AJ372" i="4" l="1"/>
  <c r="AK372" i="4" s="1"/>
  <c r="AF373" i="4" s="1"/>
  <c r="G195" i="3"/>
  <c r="B196" i="3" s="1"/>
  <c r="H195" i="3"/>
  <c r="E196" i="3"/>
  <c r="D196" i="3"/>
  <c r="C196" i="3"/>
  <c r="AG373" i="4" l="1"/>
  <c r="AI373" i="4"/>
  <c r="AL372" i="4"/>
  <c r="AH373" i="4"/>
  <c r="AJ373" i="4" s="1"/>
  <c r="AK373" i="4" s="1"/>
  <c r="AF374" i="4" s="1"/>
  <c r="F196" i="3"/>
  <c r="G196" i="3"/>
  <c r="B197" i="3" s="1"/>
  <c r="D197" i="3" s="1"/>
  <c r="AG374" i="4" l="1"/>
  <c r="AK374" i="4" s="1"/>
  <c r="AF375" i="4" s="1"/>
  <c r="AL373" i="4"/>
  <c r="AI374" i="4"/>
  <c r="AH374" i="4"/>
  <c r="AJ374" i="4" s="1"/>
  <c r="C197" i="3"/>
  <c r="E197" i="3"/>
  <c r="H196" i="3"/>
  <c r="F197" i="3"/>
  <c r="AH375" i="4" l="1"/>
  <c r="AJ375" i="4" s="1"/>
  <c r="AK375" i="4" s="1"/>
  <c r="AF376" i="4" s="1"/>
  <c r="AG375" i="4"/>
  <c r="AL374" i="4"/>
  <c r="AI375" i="4"/>
  <c r="G197" i="3"/>
  <c r="B198" i="3" s="1"/>
  <c r="C198" i="3" s="1"/>
  <c r="H197" i="3"/>
  <c r="E198" i="3"/>
  <c r="D198" i="3"/>
  <c r="AH376" i="4" l="1"/>
  <c r="AL375" i="4"/>
  <c r="AI376" i="4"/>
  <c r="AG376" i="4"/>
  <c r="F198" i="3"/>
  <c r="G198" i="3" s="1"/>
  <c r="B199" i="3" s="1"/>
  <c r="C199" i="3"/>
  <c r="D199" i="3"/>
  <c r="E199" i="3"/>
  <c r="H198" i="3"/>
  <c r="AJ376" i="4" l="1"/>
  <c r="AK376" i="4" s="1"/>
  <c r="AF377" i="4" s="1"/>
  <c r="F199" i="3"/>
  <c r="G199" i="3" s="1"/>
  <c r="B200" i="3" s="1"/>
  <c r="AI377" i="4" l="1"/>
  <c r="AL376" i="4"/>
  <c r="AG377" i="4"/>
  <c r="AH377" i="4"/>
  <c r="D200" i="3"/>
  <c r="H199" i="3"/>
  <c r="C200" i="3"/>
  <c r="E200" i="3"/>
  <c r="AJ377" i="4" l="1"/>
  <c r="AK377" i="4" s="1"/>
  <c r="AF378" i="4" s="1"/>
  <c r="F200" i="3"/>
  <c r="G200" i="3" s="1"/>
  <c r="B201" i="3" s="1"/>
  <c r="AG378" i="4" l="1"/>
  <c r="AK378" i="4" s="1"/>
  <c r="AF379" i="4" s="1"/>
  <c r="AL377" i="4"/>
  <c r="AH378" i="4"/>
  <c r="AJ378" i="4" s="1"/>
  <c r="AI378" i="4"/>
  <c r="H200" i="3"/>
  <c r="E201" i="3"/>
  <c r="C201" i="3"/>
  <c r="D201" i="3"/>
  <c r="AI379" i="4" l="1"/>
  <c r="AL378" i="4"/>
  <c r="AH379" i="4"/>
  <c r="AJ379" i="4" s="1"/>
  <c r="AG379" i="4"/>
  <c r="AK379" i="4" s="1"/>
  <c r="AF380" i="4" s="1"/>
  <c r="F201" i="3"/>
  <c r="G201" i="3" s="1"/>
  <c r="B202" i="3" s="1"/>
  <c r="E202" i="3"/>
  <c r="C202" i="3"/>
  <c r="D202" i="3"/>
  <c r="F202" i="3" s="1"/>
  <c r="H201" i="3"/>
  <c r="AL379" i="4" l="1"/>
  <c r="AH380" i="4"/>
  <c r="AI380" i="4"/>
  <c r="AG380" i="4"/>
  <c r="G202" i="3"/>
  <c r="B203" i="3" s="1"/>
  <c r="H202" i="3"/>
  <c r="D203" i="3"/>
  <c r="C203" i="3"/>
  <c r="E203" i="3"/>
  <c r="AJ380" i="4" l="1"/>
  <c r="AK380" i="4" s="1"/>
  <c r="AF381" i="4" s="1"/>
  <c r="F203" i="3"/>
  <c r="G203" i="3"/>
  <c r="B204" i="3" s="1"/>
  <c r="AI381" i="4" l="1"/>
  <c r="AH381" i="4"/>
  <c r="AJ381" i="4" s="1"/>
  <c r="AL380" i="4"/>
  <c r="AG381" i="4"/>
  <c r="AK381" i="4"/>
  <c r="AF382" i="4" s="1"/>
  <c r="D204" i="3"/>
  <c r="H203" i="3"/>
  <c r="C204" i="3"/>
  <c r="E204" i="3"/>
  <c r="AL381" i="4" l="1"/>
  <c r="AG382" i="4"/>
  <c r="AI382" i="4"/>
  <c r="AH382" i="4"/>
  <c r="AJ382" i="4" s="1"/>
  <c r="AK382" i="4" s="1"/>
  <c r="AF383" i="4" s="1"/>
  <c r="F204" i="3"/>
  <c r="G204" i="3" s="1"/>
  <c r="B205" i="3" s="1"/>
  <c r="AL382" i="4" l="1"/>
  <c r="AG383" i="4"/>
  <c r="AI383" i="4"/>
  <c r="AH383" i="4"/>
  <c r="C205" i="3"/>
  <c r="H204" i="3"/>
  <c r="D205" i="3"/>
  <c r="E205" i="3"/>
  <c r="AJ383" i="4" l="1"/>
  <c r="AK383" i="4" s="1"/>
  <c r="AF384" i="4" s="1"/>
  <c r="F205" i="3"/>
  <c r="G205" i="3" s="1"/>
  <c r="B206" i="3" s="1"/>
  <c r="AH384" i="4" l="1"/>
  <c r="AI384" i="4"/>
  <c r="AL383" i="4"/>
  <c r="AG384" i="4"/>
  <c r="E206" i="3"/>
  <c r="H205" i="3"/>
  <c r="D206" i="3"/>
  <c r="F206" i="3" s="1"/>
  <c r="C206" i="3"/>
  <c r="AJ384" i="4" l="1"/>
  <c r="AK384" i="4" s="1"/>
  <c r="AF385" i="4" s="1"/>
  <c r="G206" i="3"/>
  <c r="B207" i="3" s="1"/>
  <c r="AL384" i="4" l="1"/>
  <c r="AG385" i="4"/>
  <c r="AI385" i="4"/>
  <c r="AH385" i="4"/>
  <c r="C207" i="3"/>
  <c r="D207" i="3"/>
  <c r="E207" i="3"/>
  <c r="H206" i="3"/>
  <c r="AJ385" i="4" l="1"/>
  <c r="AK385" i="4" s="1"/>
  <c r="AF386" i="4" s="1"/>
  <c r="F207" i="3"/>
  <c r="G207" i="3" s="1"/>
  <c r="B208" i="3" s="1"/>
  <c r="AH386" i="4" l="1"/>
  <c r="AJ386" i="4" s="1"/>
  <c r="AG386" i="4"/>
  <c r="AK386" i="4" s="1"/>
  <c r="AF387" i="4" s="1"/>
  <c r="AL385" i="4"/>
  <c r="AI386" i="4"/>
  <c r="E208" i="3"/>
  <c r="H207" i="3"/>
  <c r="D208" i="3"/>
  <c r="F208" i="3" s="1"/>
  <c r="C208" i="3"/>
  <c r="AL386" i="4" l="1"/>
  <c r="AH387" i="4"/>
  <c r="AG387" i="4"/>
  <c r="AI387" i="4"/>
  <c r="G208" i="3"/>
  <c r="B209" i="3" s="1"/>
  <c r="AJ387" i="4" l="1"/>
  <c r="AK387" i="4" s="1"/>
  <c r="AF388" i="4" s="1"/>
  <c r="H208" i="3"/>
  <c r="E209" i="3"/>
  <c r="D209" i="3"/>
  <c r="C209" i="3"/>
  <c r="AG388" i="4" l="1"/>
  <c r="AI388" i="4"/>
  <c r="AH388" i="4"/>
  <c r="AL387" i="4"/>
  <c r="F209" i="3"/>
  <c r="G209" i="3" s="1"/>
  <c r="B210" i="3" s="1"/>
  <c r="AJ388" i="4" l="1"/>
  <c r="AK388" i="4" s="1"/>
  <c r="AF389" i="4" s="1"/>
  <c r="E210" i="3"/>
  <c r="C210" i="3"/>
  <c r="H209" i="3"/>
  <c r="D210" i="3"/>
  <c r="F210" i="3" s="1"/>
  <c r="G210" i="3" s="1"/>
  <c r="B211" i="3" s="1"/>
  <c r="AI389" i="4" l="1"/>
  <c r="AG389" i="4"/>
  <c r="AL388" i="4"/>
  <c r="AH389" i="4"/>
  <c r="C211" i="3"/>
  <c r="D211" i="3"/>
  <c r="H210" i="3"/>
  <c r="E211" i="3"/>
  <c r="AJ389" i="4" l="1"/>
  <c r="AK389" i="4" s="1"/>
  <c r="AF390" i="4" s="1"/>
  <c r="F211" i="3"/>
  <c r="G211" i="3" s="1"/>
  <c r="B212" i="3" s="1"/>
  <c r="AG390" i="4" l="1"/>
  <c r="AL389" i="4"/>
  <c r="AH390" i="4"/>
  <c r="AI390" i="4"/>
  <c r="H211" i="3"/>
  <c r="D212" i="3"/>
  <c r="E212" i="3"/>
  <c r="C212" i="3"/>
  <c r="AJ390" i="4" l="1"/>
  <c r="AK390" i="4" s="1"/>
  <c r="AF391" i="4" s="1"/>
  <c r="F212" i="3"/>
  <c r="G212" i="3" s="1"/>
  <c r="B213" i="3" s="1"/>
  <c r="AL390" i="4" l="1"/>
  <c r="AG391" i="4"/>
  <c r="AH391" i="4"/>
  <c r="AI391" i="4"/>
  <c r="E213" i="3"/>
  <c r="C213" i="3"/>
  <c r="H212" i="3"/>
  <c r="D213" i="3"/>
  <c r="F213" i="3" s="1"/>
  <c r="G213" i="3" s="1"/>
  <c r="B214" i="3" s="1"/>
  <c r="C214" i="3" s="1"/>
  <c r="AJ391" i="4" l="1"/>
  <c r="AK391" i="4" s="1"/>
  <c r="AF392" i="4" s="1"/>
  <c r="E214" i="3"/>
  <c r="H213" i="3"/>
  <c r="D214" i="3"/>
  <c r="F214" i="3" s="1"/>
  <c r="G214" i="3" s="1"/>
  <c r="B215" i="3" s="1"/>
  <c r="H214" i="3" s="1"/>
  <c r="AI392" i="4" l="1"/>
  <c r="AG392" i="4"/>
  <c r="AK392" i="4" s="1"/>
  <c r="AF393" i="4" s="1"/>
  <c r="AL391" i="4"/>
  <c r="AH392" i="4"/>
  <c r="AJ392" i="4" s="1"/>
  <c r="C215" i="3"/>
  <c r="D215" i="3"/>
  <c r="E215" i="3"/>
  <c r="AI393" i="4" l="1"/>
  <c r="AH393" i="4"/>
  <c r="AJ393" i="4" s="1"/>
  <c r="AL392" i="4"/>
  <c r="AG393" i="4"/>
  <c r="AK393" i="4" s="1"/>
  <c r="AF394" i="4" s="1"/>
  <c r="F215" i="3"/>
  <c r="G215" i="3" s="1"/>
  <c r="B216" i="3" s="1"/>
  <c r="D216" i="3"/>
  <c r="C216" i="3"/>
  <c r="E216" i="3"/>
  <c r="H215" i="3"/>
  <c r="AI394" i="4" l="1"/>
  <c r="AH394" i="4"/>
  <c r="AJ394" i="4" s="1"/>
  <c r="AG394" i="4"/>
  <c r="AK394" i="4" s="1"/>
  <c r="AF395" i="4" s="1"/>
  <c r="AL393" i="4"/>
  <c r="F216" i="3"/>
  <c r="G216" i="3" s="1"/>
  <c r="B217" i="3" s="1"/>
  <c r="AI395" i="4" l="1"/>
  <c r="AL394" i="4"/>
  <c r="AG395" i="4"/>
  <c r="AK395" i="4" s="1"/>
  <c r="AF396" i="4" s="1"/>
  <c r="AH395" i="4"/>
  <c r="AJ395" i="4" s="1"/>
  <c r="H216" i="3"/>
  <c r="D217" i="3"/>
  <c r="E217" i="3"/>
  <c r="C217" i="3"/>
  <c r="AI396" i="4" l="1"/>
  <c r="AG396" i="4"/>
  <c r="AH396" i="4"/>
  <c r="AJ396" i="4" s="1"/>
  <c r="AK396" i="4" s="1"/>
  <c r="AF397" i="4" s="1"/>
  <c r="AL395" i="4"/>
  <c r="F217" i="3"/>
  <c r="G217" i="3"/>
  <c r="B218" i="3" s="1"/>
  <c r="AL397" i="4" l="1"/>
  <c r="AH397" i="4"/>
  <c r="AJ397" i="4" s="1"/>
  <c r="AK397" i="4" s="1"/>
  <c r="AL396" i="4"/>
  <c r="AG397" i="4"/>
  <c r="AI397" i="4"/>
  <c r="H217" i="3"/>
  <c r="C218" i="3"/>
  <c r="D218" i="3"/>
  <c r="E218" i="3"/>
  <c r="F218" i="3" l="1"/>
  <c r="G218" i="3" s="1"/>
  <c r="B219" i="3" s="1"/>
  <c r="E219" i="3" l="1"/>
  <c r="C219" i="3"/>
  <c r="H218" i="3"/>
  <c r="D219" i="3"/>
  <c r="F219" i="3" s="1"/>
  <c r="G219" i="3" s="1"/>
  <c r="B220" i="3" s="1"/>
  <c r="H219" i="3" l="1"/>
  <c r="E220" i="3"/>
  <c r="C220" i="3"/>
  <c r="D220" i="3"/>
  <c r="F220" i="3" s="1"/>
  <c r="G220" i="3" s="1"/>
  <c r="B221" i="3" s="1"/>
  <c r="D221" i="3" l="1"/>
  <c r="H220" i="3"/>
  <c r="E221" i="3"/>
  <c r="C221" i="3"/>
  <c r="F221" i="3" l="1"/>
  <c r="G221" i="3" s="1"/>
  <c r="B222" i="3" s="1"/>
  <c r="D222" i="3" l="1"/>
  <c r="E222" i="3"/>
  <c r="C222" i="3"/>
  <c r="H221" i="3"/>
  <c r="F222" i="3" l="1"/>
  <c r="G222" i="3" s="1"/>
  <c r="B223" i="3" s="1"/>
  <c r="C223" i="3" l="1"/>
  <c r="D223" i="3"/>
  <c r="E223" i="3"/>
  <c r="H222" i="3"/>
  <c r="F223" i="3" l="1"/>
  <c r="G223" i="3" s="1"/>
  <c r="B224" i="3" s="1"/>
  <c r="H223" i="3"/>
  <c r="D224" i="3"/>
  <c r="E224" i="3"/>
  <c r="C224" i="3"/>
  <c r="F224" i="3" l="1"/>
  <c r="G224" i="3" s="1"/>
  <c r="B225" i="3" s="1"/>
  <c r="H224" i="3" l="1"/>
  <c r="E225" i="3"/>
  <c r="C225" i="3"/>
  <c r="D225" i="3"/>
  <c r="F225" i="3" s="1"/>
  <c r="G225" i="3" s="1"/>
  <c r="B226" i="3" s="1"/>
  <c r="E226" i="3" s="1"/>
  <c r="H225" i="3" l="1"/>
  <c r="C226" i="3"/>
  <c r="D226" i="3"/>
  <c r="F226" i="3" s="1"/>
  <c r="G226" i="3" s="1"/>
  <c r="B227" i="3" s="1"/>
  <c r="E227" i="3" s="1"/>
  <c r="H226" i="3" l="1"/>
  <c r="C227" i="3"/>
  <c r="D227" i="3"/>
  <c r="F227" i="3" s="1"/>
  <c r="G227" i="3" s="1"/>
  <c r="B228" i="3" s="1"/>
  <c r="C228" i="3" l="1"/>
  <c r="E228" i="3"/>
  <c r="D228" i="3"/>
  <c r="H227" i="3"/>
  <c r="F228" i="3" l="1"/>
  <c r="G228" i="3"/>
  <c r="B229" i="3" s="1"/>
  <c r="D229" i="3" l="1"/>
  <c r="E229" i="3"/>
  <c r="C229" i="3"/>
  <c r="H228" i="3"/>
  <c r="F229" i="3" l="1"/>
  <c r="G229" i="3" s="1"/>
  <c r="B230" i="3" s="1"/>
  <c r="D230" i="3" l="1"/>
  <c r="C230" i="3"/>
  <c r="E230" i="3"/>
  <c r="H229" i="3"/>
  <c r="F230" i="3" l="1"/>
  <c r="G230" i="3" s="1"/>
  <c r="B231" i="3" s="1"/>
  <c r="E231" i="3" l="1"/>
  <c r="C231" i="3"/>
  <c r="D231" i="3"/>
  <c r="F231" i="3" s="1"/>
  <c r="H230" i="3"/>
  <c r="G231" i="3" l="1"/>
  <c r="B232" i="3" s="1"/>
  <c r="C232" i="3"/>
  <c r="H231" i="3"/>
  <c r="E232" i="3"/>
  <c r="D232" i="3"/>
  <c r="F232" i="3" l="1"/>
  <c r="G232" i="3" s="1"/>
  <c r="B233" i="3" s="1"/>
  <c r="D233" i="3"/>
  <c r="E233" i="3"/>
  <c r="C233" i="3"/>
  <c r="H232" i="3"/>
  <c r="F233" i="3" l="1"/>
  <c r="G233" i="3" s="1"/>
  <c r="B234" i="3" s="1"/>
  <c r="D234" i="3" l="1"/>
  <c r="E234" i="3"/>
  <c r="C234" i="3"/>
  <c r="H233" i="3"/>
  <c r="F234" i="3" l="1"/>
  <c r="G234" i="3" s="1"/>
  <c r="B235" i="3" s="1"/>
  <c r="C235" i="3" l="1"/>
  <c r="E235" i="3"/>
  <c r="D235" i="3"/>
  <c r="H234" i="3"/>
  <c r="F235" i="3" l="1"/>
  <c r="G235" i="3" s="1"/>
  <c r="B236" i="3" s="1"/>
  <c r="D236" i="3"/>
  <c r="H235" i="3"/>
  <c r="C236" i="3"/>
  <c r="E236" i="3"/>
  <c r="F236" i="3" l="1"/>
  <c r="G236" i="3" s="1"/>
  <c r="B237" i="3" s="1"/>
  <c r="H236" i="3" l="1"/>
  <c r="E237" i="3"/>
  <c r="C237" i="3"/>
  <c r="D237" i="3"/>
  <c r="F237" i="3" s="1"/>
  <c r="G237" i="3" s="1"/>
  <c r="B238" i="3" s="1"/>
  <c r="H237" i="3" l="1"/>
  <c r="E238" i="3"/>
  <c r="D238" i="3"/>
  <c r="C238" i="3"/>
  <c r="F238" i="3" l="1"/>
  <c r="G238" i="3" s="1"/>
  <c r="B239" i="3" s="1"/>
  <c r="H238" i="3" l="1"/>
  <c r="D239" i="3"/>
  <c r="E239" i="3"/>
  <c r="C239" i="3"/>
  <c r="F239" i="3" l="1"/>
  <c r="G239" i="3" s="1"/>
  <c r="B240" i="3" s="1"/>
  <c r="H239" i="3" l="1"/>
  <c r="C240" i="3"/>
  <c r="E240" i="3"/>
  <c r="D240" i="3"/>
  <c r="F240" i="3" s="1"/>
  <c r="G240" i="3" s="1"/>
  <c r="B241" i="3" s="1"/>
  <c r="D241" i="3" l="1"/>
  <c r="E241" i="3"/>
  <c r="C241" i="3"/>
  <c r="H240" i="3"/>
  <c r="F241" i="3" l="1"/>
  <c r="G241" i="3" s="1"/>
  <c r="B242" i="3" s="1"/>
  <c r="H241" i="3" l="1"/>
  <c r="D242" i="3"/>
  <c r="C242" i="3"/>
  <c r="E242" i="3"/>
  <c r="F242" i="3" l="1"/>
  <c r="G242" i="3"/>
  <c r="B243" i="3" s="1"/>
  <c r="E243" i="3" l="1"/>
  <c r="C243" i="3"/>
  <c r="H242" i="3"/>
  <c r="D243" i="3"/>
  <c r="F243" i="3" s="1"/>
  <c r="G243" i="3" s="1"/>
  <c r="B244" i="3" s="1"/>
  <c r="C244" i="3" l="1"/>
  <c r="H243" i="3"/>
  <c r="H244" i="3"/>
  <c r="K6" i="3" s="1"/>
  <c r="D244" i="3"/>
  <c r="E244" i="3"/>
  <c r="F244" i="3" l="1"/>
  <c r="G24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<sst xmlns="http://schemas.openxmlformats.org/spreadsheetml/2006/main" count="1355" uniqueCount="746">
  <si>
    <r>
      <t xml:space="preserve">Polecenie: Znajdź wszystkie pierwiastki równania </t>
    </r>
    <r>
      <rPr>
        <b/>
        <sz val="11"/>
        <color theme="1"/>
        <rFont val="Aptos Narrow"/>
        <family val="2"/>
        <scheme val="minor"/>
      </rPr>
      <t>exp(x)-arctg(x)-1,5=0</t>
    </r>
    <r>
      <rPr>
        <sz val="11"/>
        <color theme="1"/>
        <rFont val="Aptos Narrow"/>
        <family val="2"/>
        <charset val="238"/>
        <scheme val="minor"/>
      </rPr>
      <t xml:space="preserve"> stosując metodę Newtona</t>
    </r>
  </si>
  <si>
    <t>X0</t>
  </si>
  <si>
    <t>X1</t>
  </si>
  <si>
    <t>X2</t>
  </si>
  <si>
    <t>X3</t>
  </si>
  <si>
    <t>X4</t>
  </si>
  <si>
    <t>Błędy bezwzględne</t>
  </si>
  <si>
    <t>f(x+h)</t>
  </si>
  <si>
    <t>f(x)</t>
  </si>
  <si>
    <t>f(x-h)</t>
  </si>
  <si>
    <t>Pochodna</t>
  </si>
  <si>
    <t>Newton</t>
  </si>
  <si>
    <t>Warunek STOPU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</si>
  <si>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</si>
  <si>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</si>
  <si>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</si>
  <si>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</si>
  <si>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</si>
  <si>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</si>
  <si>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</si>
  <si>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</si>
  <si>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</si>
  <si>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</si>
  <si>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</si>
  <si>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</si>
  <si>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</si>
  <si>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</si>
  <si>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</si>
  <si>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</si>
  <si>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</si>
  <si>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</si>
  <si>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</si>
  <si>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</si>
  <si>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</si>
  <si>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</si>
  <si>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</si>
  <si>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</si>
  <si>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</si>
  <si>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</si>
  <si>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</si>
  <si>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</si>
  <si>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</si>
  <si>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</si>
  <si>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</si>
  <si>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</si>
  <si>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</si>
  <si>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</si>
  <si>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</si>
  <si>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</si>
  <si>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</si>
  <si>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</si>
  <si>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</si>
  <si>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</si>
  <si>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</si>
  <si>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</si>
  <si>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</si>
  <si>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</si>
  <si>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</si>
  <si>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</si>
  <si>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</si>
  <si>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</si>
  <si>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</si>
  <si>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</si>
  <si>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</si>
  <si>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</si>
  <si>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</si>
  <si>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</si>
  <si>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</si>
  <si>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</si>
  <si>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</si>
  <si>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</si>
  <si>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</si>
  <si>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</si>
  <si>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</t>
  </si>
  <si>
    <t>h=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</si>
  <si>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</si>
  <si>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</si>
  <si>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</si>
  <si>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</si>
  <si>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</si>
  <si>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</si>
  <si>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</si>
  <si>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</si>
  <si>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</si>
  <si>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</si>
  <si>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</si>
  <si>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</si>
  <si>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</si>
  <si>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</si>
  <si>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</si>
  <si>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</si>
  <si>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</si>
  <si>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</si>
  <si>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</si>
  <si>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</si>
  <si>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</si>
  <si>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</si>
  <si>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</si>
  <si>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</si>
  <si>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</si>
  <si>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</si>
  <si>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</si>
  <si>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</si>
  <si>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</si>
  <si>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</si>
  <si>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</si>
  <si>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</si>
  <si>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</si>
  <si>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</si>
  <si>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</si>
  <si>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</si>
  <si>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</si>
  <si>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</si>
  <si>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</si>
  <si>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</si>
  <si>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</si>
  <si>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</si>
  <si>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</si>
  <si>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</si>
  <si>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</si>
  <si>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</si>
  <si>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</si>
  <si>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</si>
  <si>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</si>
  <si>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</si>
  <si>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</si>
  <si>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</si>
  <si>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</si>
  <si>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</si>
  <si>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</si>
  <si>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</si>
  <si>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</si>
  <si>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</si>
  <si>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</si>
  <si>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</si>
  <si>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</si>
  <si>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</si>
  <si>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</si>
  <si>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</si>
  <si>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</si>
  <si>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</si>
  <si>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</si>
  <si>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</si>
  <si>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</si>
  <si>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</si>
  <si>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</si>
  <si>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</si>
  <si>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</si>
  <si>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</si>
  <si>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</si>
  <si>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</si>
  <si>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</si>
  <si>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</si>
  <si>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</si>
  <si>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</si>
  <si>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</si>
  <si>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</si>
  <si>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</si>
  <si>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</si>
  <si>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</si>
  <si>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</si>
  <si>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</si>
  <si>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</si>
  <si>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</si>
  <si>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</si>
  <si>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</si>
  <si>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</si>
  <si>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</si>
  <si>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</si>
  <si>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</si>
  <si>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</si>
  <si>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</si>
  <si>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</si>
  <si>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</si>
  <si>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</si>
  <si>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</si>
  <si>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</si>
  <si>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</si>
  <si>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</si>
  <si>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</si>
  <si>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</si>
  <si>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</si>
  <si>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</si>
  <si>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</si>
  <si>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</si>
  <si>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</si>
  <si>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</si>
  <si>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</si>
  <si>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</si>
  <si>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</si>
  <si>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</si>
  <si>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</si>
  <si>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</si>
  <si>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</si>
  <si>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</si>
  <si>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</si>
  <si>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</si>
  <si>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</si>
  <si>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</si>
  <si>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</si>
  <si>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</si>
  <si>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</si>
  <si>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</si>
  <si>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</si>
  <si>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Pierwiastek:</t>
  </si>
  <si>
    <t>Przybliżenie</t>
  </si>
  <si>
    <t>Polecenie: Zbadaj czy liczba iteracji zależy w istotny sposób od wyboru punktu startowego.</t>
  </si>
  <si>
    <t>Punkt startowy</t>
  </si>
  <si>
    <t>Liczba iteracji</t>
  </si>
  <si>
    <t>Automatyczne liczenie iteracji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</si>
  <si>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</si>
  <si>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</si>
  <si>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</si>
  <si>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</si>
  <si>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</si>
  <si>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</si>
  <si>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</si>
  <si>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</si>
  <si>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</si>
  <si>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</si>
  <si>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</si>
  <si>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</si>
  <si>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</si>
  <si>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</si>
  <si>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</si>
  <si>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</si>
  <si>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</si>
  <si>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</si>
  <si>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</si>
  <si>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</si>
  <si>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</si>
  <si>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</si>
  <si>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</si>
  <si>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</si>
  <si>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</si>
  <si>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</si>
  <si>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</si>
  <si>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</si>
  <si>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</si>
  <si>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</si>
  <si>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</si>
  <si>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</si>
  <si>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</si>
  <si>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</si>
  <si>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</si>
  <si>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</si>
  <si>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</si>
  <si>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</si>
  <si>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</si>
  <si>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</si>
  <si>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</si>
  <si>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</si>
  <si>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</si>
  <si>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</si>
  <si>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</si>
  <si>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Polecenie: Zbadaj czy metoda jest lokalnie czt globalnie zbieżna. W przypadku lokalnej zbieżności wyznacz przedziały zbieżności z dokładnością do 0,01.</t>
  </si>
  <si>
    <t>Zbieżność liniowa</t>
  </si>
  <si>
    <t>Znaleziony pierwiastek</t>
  </si>
  <si>
    <t>Polecenie: znajdź pierwiastek metodą punkty stałego</t>
  </si>
  <si>
    <t>exp(x) - arctg(x) - 1,5 = 0</t>
  </si>
  <si>
    <t>x = ln(arctg(x) + 1,5))</t>
  </si>
  <si>
    <t>Punkt startowy:</t>
  </si>
  <si>
    <t>x = tg(exp(x)-1,5)</t>
  </si>
  <si>
    <t>Równanie:</t>
  </si>
  <si>
    <t>BŁĄD - pochodna wynosi 0</t>
  </si>
  <si>
    <t>Zbieżność kwadratowa</t>
  </si>
  <si>
    <t xml:space="preserve">BŁĄD  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</si>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</sst>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00"/>
  </numFmts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238"/>
    </font>
    <font>
      <sz val="11"/>
      <name val="Aptos Narrow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BDDE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5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3" xfId="0" applyFill="1" applyBorder="1"/>
    <xf numFmtId="0" fontId="0" fillId="0" borderId="3" xfId="0" applyBorder="1"/>
    <xf numFmtId="164" fontId="0" fillId="0" borderId="0" xfId="0" applyNumberFormat="1"/>
    <xf numFmtId="165" fontId="0" fillId="3" borderId="0" xfId="0" applyNumberFormat="1" applyFill="1"/>
    <xf numFmtId="0" fontId="0" fillId="2" borderId="3" xfId="0" applyFill="1" applyBorder="1"/>
    <xf numFmtId="0" fontId="0" fillId="7" borderId="3" xfId="0" applyFill="1" applyBorder="1"/>
    <xf numFmtId="0" fontId="0" fillId="9" borderId="3" xfId="0" applyFill="1" applyBorder="1"/>
    <xf numFmtId="0" fontId="0" fillId="8" borderId="3" xfId="0" applyFill="1" applyBorder="1"/>
    <xf numFmtId="165" fontId="0" fillId="0" borderId="3" xfId="0" applyNumberFormat="1" applyBorder="1"/>
    <xf numFmtId="0" fontId="0" fillId="10" borderId="0" xfId="0" applyFill="1"/>
    <xf numFmtId="0" fontId="0" fillId="0" borderId="0" xfId="0" applyAlignment="1">
      <alignment wrapText="1"/>
    </xf>
    <xf numFmtId="0" fontId="0" fillId="11" borderId="0" xfId="0" applyFill="1" applyAlignment="1">
      <alignment wrapText="1"/>
    </xf>
    <xf numFmtId="0" fontId="0" fillId="11" borderId="0" xfId="0" applyFill="1"/>
    <xf numFmtId="0" fontId="0" fillId="12" borderId="0" xfId="0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13" borderId="3" xfId="0" applyFill="1" applyBorder="1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 vertical="top" wrapText="1"/>
    </xf>
    <xf numFmtId="0" fontId="0" fillId="10" borderId="0" xfId="0" applyFill="1" applyAlignment="1">
      <alignment horizontal="left"/>
    </xf>
    <xf numFmtId="0" fontId="5" fillId="12" borderId="0" xfId="0" applyFont="1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ny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BDDE"/>
      <color rgb="FFFF99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</a:t>
            </a:r>
            <a:r>
              <a:rPr lang="pl-PL"/>
              <a:t>(x</a:t>
            </a:r>
            <a:r>
              <a:rPr lang="en-US"/>
              <a:t>)</a:t>
            </a:r>
            <a:r>
              <a:rPr lang="pl-PL"/>
              <a:t>=exp(x)-arctg(x)-1,5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'Badanie przebiegu funkcji'!$B$1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'Badanie przebiegu funkcji'!$A$2:$A$22</c:f>
              <c:numCache>
                <c:formatCode>General</c:formatCode>
                <c:ptCount val="21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</c:numCache>
            </c:numRef>
          </c:xVal>
          <c:yVal>
            <c:numRef>
              <c:f>'Badanie przebiegu funkcji'!$B$2:$B$22</c:f>
              <c:numCache>
                <c:formatCode>General</c:formatCode>
                <c:ptCount val="21"/>
                <c:pt idx="0">
                  <c:v>4.2284689213933913E-3</c:v>
                </c:pt>
                <c:pt idx="1">
                  <c:v>-5.1030646167449234E-4</c:v>
                </c:pt>
                <c:pt idx="2">
                  <c:v>-5.9733041454743674E-3</c:v>
                </c:pt>
                <c:pt idx="3">
                  <c:v>-1.2338760881191346E-2</c:v>
                </c:pt>
                <c:pt idx="4">
                  <c:v>-1.9846858705058423E-2</c:v>
                </c:pt>
                <c:pt idx="5">
                  <c:v>-2.8826925766502809E-2</c:v>
                </c:pt>
                <c:pt idx="6">
                  <c:v>-3.973748457491233E-2</c:v>
                </c:pt>
                <c:pt idx="7">
                  <c:v>-5.3223205123962503E-2</c:v>
                </c:pt>
                <c:pt idx="8">
                  <c:v>-7.0188845843712766E-2</c:v>
                </c:pt>
                <c:pt idx="9">
                  <c:v>-9.1873598443063864E-2</c:v>
                </c:pt>
                <c:pt idx="10">
                  <c:v>-0.11986128605589874</c:v>
                </c:pt>
                <c:pt idx="11">
                  <c:v>-0.15586669744323323</c:v>
                </c:pt>
                <c:pt idx="12">
                  <c:v>-0.20116715923388173</c:v>
                </c:pt>
                <c:pt idx="13">
                  <c:v>-0.25751599896929678</c:v>
                </c:pt>
                <c:pt idx="14">
                  <c:v>-0.34672239543110939</c:v>
                </c:pt>
                <c:pt idx="15">
                  <c:v>-0.5</c:v>
                </c:pt>
                <c:pt idx="16">
                  <c:v>0.43288366506159681</c:v>
                </c:pt>
                <c:pt idx="17">
                  <c:v>4.78190738113656</c:v>
                </c:pt>
                <c:pt idx="18">
                  <c:v>17.336491150789413</c:v>
                </c:pt>
                <c:pt idx="19">
                  <c:v>51.772332369476203</c:v>
                </c:pt>
                <c:pt idx="20">
                  <c:v>145.53975833563157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6-40E7-A6F0-64F53DD68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123584"/>
        <c:axId val="920119264"/>
      </c:scatterChart>
      <c:valAx>
        <c:axId val="92012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0119264"/>
        <c:crosses val="autoZero"/>
        <c:crossBetween val="midCat"/>
      </c:valAx>
      <c:valAx>
        <c:axId val="9201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01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Pierwiastek dodatni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'Badanie przebiegu funkcji'!$E$1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'Badanie przebiegu funkcji'!$D$2:$D$27</c:f>
              <c:numCache>
                <c:formatCode>General</c:formatCode>
                <c:ptCount val="26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1.3</c:v>
                </c:pt>
                <c:pt idx="24">
                  <c:v>1.4</c:v>
                </c:pt>
                <c:pt idx="25">
                  <c:v>1.5</c:v>
                </c:pt>
              </c:numCache>
            </c:numRef>
          </c:xVal>
          <c:yVal>
            <c:numRef>
              <c:f>'Badanie przebiegu funkcji'!$E$2:$E$27</c:f>
              <c:numCache>
                <c:formatCode>General</c:formatCode>
                <c:ptCount val="26"/>
                <c:pt idx="0">
                  <c:v>-0.34672239543110939</c:v>
                </c:pt>
                <c:pt idx="1">
                  <c:v>-0.36061523847289445</c:v>
                </c:pt>
                <c:pt idx="2">
                  <c:v>-0.37593009365922558</c:v>
                </c:pt>
                <c:pt idx="3">
                  <c:v>-0.39268873181938191</c:v>
                </c:pt>
                <c:pt idx="4">
                  <c:v>-0.41076886363538945</c:v>
                </c:pt>
                <c:pt idx="5">
                  <c:v>-0.42982173128656043</c:v>
                </c:pt>
                <c:pt idx="6">
                  <c:v>-0.44917357685199577</c:v>
                </c:pt>
                <c:pt idx="7">
                  <c:v>-0.46772498484041503</c:v>
                </c:pt>
                <c:pt idx="8">
                  <c:v>-0.4838736870721374</c:v>
                </c:pt>
                <c:pt idx="9">
                  <c:v>-0.4954939294728784</c:v>
                </c:pt>
                <c:pt idx="10">
                  <c:v>-0.5</c:v>
                </c:pt>
                <c:pt idx="11">
                  <c:v>-0.49449773441551437</c:v>
                </c:pt>
                <c:pt idx="12">
                  <c:v>-0.47599280168971081</c:v>
                </c:pt>
                <c:pt idx="13">
                  <c:v>-0.44159798690186403</c:v>
                </c:pt>
                <c:pt idx="14">
                  <c:v>-0.38868167947109455</c:v>
                </c:pt>
                <c:pt idx="15">
                  <c:v>-0.31492633830067795</c:v>
                </c:pt>
                <c:pt idx="16">
                  <c:v>-0.21830069988007539</c:v>
                </c:pt>
                <c:pt idx="17">
                  <c:v>-9.6973256918731821E-2</c:v>
                </c:pt>
                <c:pt idx="18">
                  <c:v>5.0799986268915021E-2</c:v>
                </c:pt>
                <c:pt idx="19">
                  <c:v>0.2267880093704433</c:v>
                </c:pt>
                <c:pt idx="20">
                  <c:v>0.43288366506159681</c:v>
                </c:pt>
                <c:pt idx="21">
                  <c:v>0.67118475727200178</c:v>
                </c:pt>
                <c:pt idx="22">
                  <c:v>0.9440588721383536</c:v>
                </c:pt>
                <c:pt idx="23">
                  <c:v>1.254195967065884</c:v>
                </c:pt>
                <c:pt idx="24">
                  <c:v>1.6046531260325994</c:v>
                </c:pt>
                <c:pt idx="25">
                  <c:v>1.9988953470907354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C-4CB9-B346-E5215F05D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121184"/>
        <c:axId val="920121664"/>
      </c:scatterChart>
      <c:valAx>
        <c:axId val="92012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0121664"/>
        <c:crosses val="autoZero"/>
        <c:crossBetween val="midCat"/>
      </c:valAx>
      <c:valAx>
        <c:axId val="9201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012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Pierwiastek ujemny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'Badanie przebiegu funkcji'!$H$1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'Badanie przebiegu funkcji'!$G$2:$G$27</c:f>
              <c:numCache>
                <c:formatCode>General</c:formatCode>
                <c:ptCount val="26"/>
                <c:pt idx="0">
                  <c:v>-15</c:v>
                </c:pt>
                <c:pt idx="1">
                  <c:v>-14.9</c:v>
                </c:pt>
                <c:pt idx="2">
                  <c:v>-14.8</c:v>
                </c:pt>
                <c:pt idx="3">
                  <c:v>-14.700000000000001</c:v>
                </c:pt>
                <c:pt idx="4">
                  <c:v>-14.600000000000001</c:v>
                </c:pt>
                <c:pt idx="5">
                  <c:v>-14.500000000000002</c:v>
                </c:pt>
                <c:pt idx="6">
                  <c:v>-14.400000000000002</c:v>
                </c:pt>
                <c:pt idx="7">
                  <c:v>-14.300000000000002</c:v>
                </c:pt>
                <c:pt idx="8">
                  <c:v>-14.200000000000003</c:v>
                </c:pt>
                <c:pt idx="9">
                  <c:v>-14.100000000000003</c:v>
                </c:pt>
                <c:pt idx="10">
                  <c:v>-14.000000000000004</c:v>
                </c:pt>
                <c:pt idx="11">
                  <c:v>-13.900000000000004</c:v>
                </c:pt>
                <c:pt idx="12">
                  <c:v>-13.800000000000004</c:v>
                </c:pt>
                <c:pt idx="13">
                  <c:v>-13.700000000000005</c:v>
                </c:pt>
                <c:pt idx="14">
                  <c:v>-13.600000000000005</c:v>
                </c:pt>
                <c:pt idx="15">
                  <c:v>-13.500000000000005</c:v>
                </c:pt>
                <c:pt idx="16">
                  <c:v>-13.400000000000006</c:v>
                </c:pt>
                <c:pt idx="17">
                  <c:v>-13.300000000000006</c:v>
                </c:pt>
                <c:pt idx="18">
                  <c:v>-13.200000000000006</c:v>
                </c:pt>
                <c:pt idx="19">
                  <c:v>-13.100000000000007</c:v>
                </c:pt>
                <c:pt idx="20">
                  <c:v>-13.000000000000007</c:v>
                </c:pt>
                <c:pt idx="21">
                  <c:v>-12.900000000000007</c:v>
                </c:pt>
                <c:pt idx="22">
                  <c:v>-12.800000000000008</c:v>
                </c:pt>
                <c:pt idx="23">
                  <c:v>-12.700000000000008</c:v>
                </c:pt>
                <c:pt idx="24">
                  <c:v>-12.600000000000009</c:v>
                </c:pt>
                <c:pt idx="25">
                  <c:v>-12.500000000000009</c:v>
                </c:pt>
              </c:numCache>
            </c:numRef>
          </c:xVal>
          <c:yVal>
            <c:numRef>
              <c:f>'Badanie przebiegu funkcji'!$H$2:$H$27</c:f>
              <c:numCache>
                <c:formatCode>General</c:formatCode>
                <c:ptCount val="26"/>
                <c:pt idx="0">
                  <c:v>4.2284689213933913E-3</c:v>
                </c:pt>
                <c:pt idx="1">
                  <c:v>3.7830668244398513E-3</c:v>
                </c:pt>
                <c:pt idx="2">
                  <c:v>3.3316759029298204E-3</c:v>
                </c:pt>
                <c:pt idx="3">
                  <c:v>2.8741749663179217E-3</c:v>
                </c:pt>
                <c:pt idx="4">
                  <c:v>2.4104395570299086E-3</c:v>
                </c:pt>
                <c:pt idx="5">
                  <c:v>1.9403418415144813E-3</c:v>
                </c:pt>
                <c:pt idx="6">
                  <c:v>1.4637504970571591E-3</c:v>
                </c:pt>
                <c:pt idx="7">
                  <c:v>9.8053059417568811E-4</c:v>
                </c:pt>
                <c:pt idx="8">
                  <c:v>4.905434744064685E-4</c:v>
                </c:pt>
                <c:pt idx="9">
                  <c:v>-6.3533767127310625E-6</c:v>
                </c:pt>
                <c:pt idx="10">
                  <c:v>-5.1030646167449234E-4</c:v>
                </c:pt>
                <c:pt idx="11">
                  <c:v>-1.0214664082563996E-3</c:v>
                </c:pt>
                <c:pt idx="12">
                  <c:v>-1.5399881122273307E-3</c:v>
                </c:pt>
                <c:pt idx="13">
                  <c:v>-2.0660308857378684E-3</c:v>
                </c:pt>
                <c:pt idx="14">
                  <c:v>-2.5997586116350835E-3</c:v>
                </c:pt>
                <c:pt idx="15">
                  <c:v>-3.1413399039572631E-3</c:v>
                </c:pt>
                <c:pt idx="16">
                  <c:v>-3.6909482748728184E-3</c:v>
                </c:pt>
                <c:pt idx="17">
                  <c:v>-4.2487623083344861E-3</c:v>
                </c:pt>
                <c:pt idx="18">
                  <c:v>-4.8149658407354856E-3</c:v>
                </c:pt>
                <c:pt idx="19">
                  <c:v>-5.3897481488665022E-3</c:v>
                </c:pt>
                <c:pt idx="20">
                  <c:v>-5.9733041454743674E-3</c:v>
                </c:pt>
                <c:pt idx="21">
                  <c:v>-6.5658345827506182E-3</c:v>
                </c:pt>
                <c:pt idx="22">
                  <c:v>-7.1675462640734544E-3</c:v>
                </c:pt>
                <c:pt idx="23">
                  <c:v>-7.7786522643514822E-3</c:v>
                </c:pt>
                <c:pt idx="24">
                  <c:v>-8.3993721593207393E-3</c:v>
                </c:pt>
                <c:pt idx="25">
                  <c:v>-9.0299322641684832E-3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E-408E-ADBF-8F6D98446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193248"/>
        <c:axId val="948193728"/>
      </c:scatterChart>
      <c:valAx>
        <c:axId val="94819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8193728"/>
        <c:crosses val="autoZero"/>
        <c:crossBetween val="midCat"/>
      </c:valAx>
      <c:valAx>
        <c:axId val="94819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819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'Liczba iteracji - Newton'!$O$3</c:f>
              <c:strCache>
                <c:ptCount val="1"/>
                <c:pt idx="0">
                  <c:v>Liczba iteracji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'Liczba iteracji - Newton'!$N$4:$N$27</c:f>
              <c:numCache>
                <c:formatCode>General</c:formatCode>
                <c:ptCount val="24"/>
                <c:pt idx="0">
                  <c:v>-40</c:v>
                </c:pt>
                <c:pt idx="1">
                  <c:v>-30</c:v>
                </c:pt>
                <c:pt idx="2">
                  <c:v>-20</c:v>
                </c:pt>
                <c:pt idx="3">
                  <c:v>-10</c:v>
                </c:pt>
                <c:pt idx="4">
                  <c:v>7.0000000000000007E-2</c:v>
                </c:pt>
                <c:pt idx="5">
                  <c:v>0.09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0.5</c:v>
                </c:pt>
                <c:pt idx="10">
                  <c:v>0.7</c:v>
                </c:pt>
                <c:pt idx="11">
                  <c:v>1</c:v>
                </c:pt>
                <c:pt idx="12">
                  <c:v>1.2</c:v>
                </c:pt>
                <c:pt idx="13">
                  <c:v>1.7</c:v>
                </c:pt>
                <c:pt idx="14">
                  <c:v>2</c:v>
                </c:pt>
                <c:pt idx="15">
                  <c:v>2.7</c:v>
                </c:pt>
                <c:pt idx="16">
                  <c:v>3</c:v>
                </c:pt>
                <c:pt idx="17">
                  <c:v>3.5</c:v>
                </c:pt>
                <c:pt idx="18">
                  <c:v>4.5</c:v>
                </c:pt>
                <c:pt idx="19">
                  <c:v>5</c:v>
                </c:pt>
                <c:pt idx="20">
                  <c:v>7</c:v>
                </c:pt>
                <c:pt idx="21">
                  <c:v>10</c:v>
                </c:pt>
                <c:pt idx="22">
                  <c:v>16</c:v>
                </c:pt>
                <c:pt idx="23">
                  <c:v>30</c:v>
                </c:pt>
              </c:numCache>
            </c:numRef>
          </c:cat>
          <c:val>
            <c:numRef>
              <c:f>'Liczba iteracji - Newton'!$O$4:$O$27</c:f>
              <c:numCache>
                <c:formatCode>General</c:formatCode>
                <c:ptCount val="24"/>
                <c:pt idx="0">
                  <c:v>40</c:v>
                </c:pt>
                <c:pt idx="1">
                  <c:v>11</c:v>
                </c:pt>
                <c:pt idx="2">
                  <c:v>7</c:v>
                </c:pt>
                <c:pt idx="3">
                  <c:v>6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13</c:v>
                </c:pt>
                <c:pt idx="21">
                  <c:v>16</c:v>
                </c:pt>
                <c:pt idx="22">
                  <c:v>22</c:v>
                </c:pt>
                <c:pt idx="2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8-4C9A-90D4-6B8C7D814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020768"/>
        <c:axId val="736021248"/>
      </c:lineChart>
      <c:catAx>
        <c:axId val="73602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Punkt startowy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6021248"/>
        <c:crosses val="autoZero"/>
        <c:auto val="1"/>
        <c:lblAlgn val="ctr"/>
        <c:lblOffset val="100"/>
        <c:noMultiLvlLbl val="0"/>
      </c:catAx>
      <c:valAx>
        <c:axId val="7360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iteracji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602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'Liczba iteracji - punkt stały'!$I$2</c:f>
              <c:strCache>
                <c:ptCount val="1"/>
                <c:pt idx="0">
                  <c:v>Liczba iteracji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'Liczba iteracji - punkt stały'!$H$3:$H$13</c:f>
              <c:numCache>
                <c:formatCode>General</c:formatCode>
                <c:ptCount val="11"/>
                <c:pt idx="0">
                  <c:v>-14.1</c:v>
                </c:pt>
                <c:pt idx="1">
                  <c:v>-14</c:v>
                </c:pt>
                <c:pt idx="2">
                  <c:v>-10</c:v>
                </c:pt>
                <c:pt idx="3">
                  <c:v>-5</c:v>
                </c:pt>
                <c:pt idx="4">
                  <c:v>-2</c:v>
                </c:pt>
                <c:pt idx="5">
                  <c:v>-1</c:v>
                </c:pt>
                <c:pt idx="6">
                  <c:v>0.1</c:v>
                </c:pt>
                <c:pt idx="7">
                  <c:v>0.7</c:v>
                </c:pt>
                <c:pt idx="8">
                  <c:v>0.76</c:v>
                </c:pt>
                <c:pt idx="9">
                  <c:v>1</c:v>
                </c:pt>
                <c:pt idx="10">
                  <c:v>100</c:v>
                </c:pt>
              </c:numCache>
            </c:numRef>
          </c:cat>
          <c:val>
            <c:numRef>
              <c:f>'Liczba iteracji - punkt stały'!$I$3:$I$13</c:f>
              <c:numCache>
                <c:formatCode>General</c:formatCode>
                <c:ptCount val="11"/>
                <c:pt idx="0">
                  <c:v>36</c:v>
                </c:pt>
                <c:pt idx="1">
                  <c:v>36</c:v>
                </c:pt>
                <c:pt idx="2">
                  <c:v>35</c:v>
                </c:pt>
                <c:pt idx="3">
                  <c:v>34</c:v>
                </c:pt>
                <c:pt idx="4">
                  <c:v>33</c:v>
                </c:pt>
                <c:pt idx="5">
                  <c:v>32</c:v>
                </c:pt>
                <c:pt idx="6">
                  <c:v>30</c:v>
                </c:pt>
                <c:pt idx="7">
                  <c:v>28</c:v>
                </c:pt>
                <c:pt idx="8">
                  <c:v>26</c:v>
                </c:pt>
                <c:pt idx="9">
                  <c:v>29</c:v>
                </c:pt>
                <c:pt idx="1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6-4B56-B220-094053C75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020768"/>
        <c:axId val="736021248"/>
      </c:lineChart>
      <c:catAx>
        <c:axId val="73602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Punkt startowy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6021248"/>
        <c:crosses val="autoZero"/>
        <c:auto val="1"/>
        <c:lblAlgn val="ctr"/>
        <c:lblOffset val="100"/>
        <c:noMultiLvlLbl val="0"/>
      </c:catAx>
      <c:valAx>
        <c:axId val="7360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iteracji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602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1</xdr:row>
      <xdr:rowOff>19050</xdr:rowOff>
    </xdr:from>
    <xdr:to>
      <xdr:col>19</xdr:col>
      <xdr:colOff>142875</xdr:colOff>
      <xdr:row>22</xdr:row>
      <xdr:rowOff>104774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F00856B-5E62-EA87-86CD-DD830FBCF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352425</xdr:colOff>
      <xdr:row>3</xdr:row>
      <xdr:rowOff>114300</xdr:rowOff>
    </xdr:from>
    <xdr:to>
      <xdr:col>29</xdr:col>
      <xdr:colOff>428625</xdr:colOff>
      <xdr:row>20</xdr:row>
      <xdr:rowOff>142875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E6BD11A-CD7A-78CE-9C36-1BC083580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342899</xdr:colOff>
      <xdr:row>22</xdr:row>
      <xdr:rowOff>180974</xdr:rowOff>
    </xdr:from>
    <xdr:to>
      <xdr:col>19</xdr:col>
      <xdr:colOff>76200</xdr:colOff>
      <xdr:row>43</xdr:row>
      <xdr:rowOff>95249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5FD3DEA-4F12-46B9-CCA4-9F36A769C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209549</xdr:colOff>
      <xdr:row>30</xdr:row>
      <xdr:rowOff>9525</xdr:rowOff>
    </xdr:from>
    <xdr:to>
      <xdr:col>18</xdr:col>
      <xdr:colOff>561975</xdr:colOff>
      <xdr:row>52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4432F5C-EA69-7AE2-ADC5-7BAF49E21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17</xdr:row>
      <xdr:rowOff>66675</xdr:rowOff>
    </xdr:from>
    <xdr:to>
      <xdr:col>13</xdr:col>
      <xdr:colOff>733425</xdr:colOff>
      <xdr:row>39</xdr:row>
      <xdr:rowOff>142875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AB0AF66-921B-4CC9-A383-541154752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4ADF-4139-4077-A80B-D2C9155AD57A}">
  <dimension ref="A1:H27"/>
  <sheetViews>
    <sheetView workbookViewId="0">
      <selection activeCell="C27" sqref="C27"/>
    </sheetView>
  </sheetViews>
  <sheetFormatPr defaultRowHeight="15" x14ac:dyDescent="0.25"/>
  <sheetData>
    <row r="1" spans="1:8" x14ac:dyDescent="0.25">
      <c r="A1" t="s">
        <v>73</v>
      </c>
      <c r="B1" t="s">
        <v>8</v>
      </c>
      <c r="D1" t="s">
        <v>73</v>
      </c>
      <c r="E1" t="s">
        <v>8</v>
      </c>
      <c r="G1" t="s">
        <v>73</v>
      </c>
      <c r="H1" t="s">
        <v>8</v>
      </c>
    </row>
    <row r="2" spans="1:8" x14ac:dyDescent="0.25">
      <c r="A2">
        <v>-15</v>
      </c>
      <c r="B2">
        <f t="shared" ref="B2:B6" si="0">EXP(A2)-ATAN(A2)-1.5</f>
        <v>4.2284689213933913E-3</v>
      </c>
      <c r="D2">
        <v>-1</v>
      </c>
      <c r="E2">
        <f>EXP(D2)-ATAN(D2)-1.5</f>
        <v>-0.34672239543110939</v>
      </c>
      <c r="G2">
        <v>-15</v>
      </c>
      <c r="H2">
        <f>EXP(G2)-ATAN(G2)-1.5</f>
        <v>4.2284689213933913E-3</v>
      </c>
    </row>
    <row r="3" spans="1:8" x14ac:dyDescent="0.25">
      <c r="A3">
        <v>-14</v>
      </c>
      <c r="B3">
        <f t="shared" si="0"/>
        <v>-5.1030646167449234E-4</v>
      </c>
      <c r="D3">
        <v>-0.9</v>
      </c>
      <c r="E3">
        <f t="shared" ref="E3:E27" si="1">EXP(D3)-ATAN(D3)-1.5</f>
        <v>-0.36061523847289445</v>
      </c>
      <c r="G3">
        <f>G2+0.1</f>
        <v>-14.9</v>
      </c>
      <c r="H3">
        <f t="shared" ref="H3:H27" si="2">EXP(G3)-ATAN(G3)-1.5</f>
        <v>3.7830668244398513E-3</v>
      </c>
    </row>
    <row r="4" spans="1:8" x14ac:dyDescent="0.25">
      <c r="A4">
        <v>-13</v>
      </c>
      <c r="B4">
        <f t="shared" si="0"/>
        <v>-5.9733041454743674E-3</v>
      </c>
      <c r="D4">
        <v>-0.8</v>
      </c>
      <c r="E4">
        <f t="shared" si="1"/>
        <v>-0.37593009365922558</v>
      </c>
      <c r="G4">
        <f t="shared" ref="G4:G27" si="3">G3+0.1</f>
        <v>-14.8</v>
      </c>
      <c r="H4">
        <f t="shared" si="2"/>
        <v>3.3316759029298204E-3</v>
      </c>
    </row>
    <row r="5" spans="1:8" x14ac:dyDescent="0.25">
      <c r="A5">
        <v>-12</v>
      </c>
      <c r="B5">
        <f t="shared" si="0"/>
        <v>-1.2338760881191346E-2</v>
      </c>
      <c r="D5">
        <v>-0.7</v>
      </c>
      <c r="E5">
        <f t="shared" si="1"/>
        <v>-0.39268873181938191</v>
      </c>
      <c r="G5">
        <f t="shared" si="3"/>
        <v>-14.700000000000001</v>
      </c>
      <c r="H5">
        <f t="shared" si="2"/>
        <v>2.8741749663179217E-3</v>
      </c>
    </row>
    <row r="6" spans="1:8" x14ac:dyDescent="0.25">
      <c r="A6">
        <v>-11</v>
      </c>
      <c r="B6">
        <f t="shared" si="0"/>
        <v>-1.9846858705058423E-2</v>
      </c>
      <c r="D6">
        <v>-0.6</v>
      </c>
      <c r="E6">
        <f t="shared" si="1"/>
        <v>-0.41076886363538945</v>
      </c>
      <c r="G6">
        <f t="shared" si="3"/>
        <v>-14.600000000000001</v>
      </c>
      <c r="H6">
        <f t="shared" si="2"/>
        <v>2.4104395570299086E-3</v>
      </c>
    </row>
    <row r="7" spans="1:8" x14ac:dyDescent="0.25">
      <c r="A7">
        <v>-10</v>
      </c>
      <c r="B7">
        <f>EXP(A7)-ATAN(A7)-1.5</f>
        <v>-2.8826925766502809E-2</v>
      </c>
      <c r="D7">
        <v>-0.5</v>
      </c>
      <c r="E7">
        <f t="shared" si="1"/>
        <v>-0.42982173128656043</v>
      </c>
      <c r="G7">
        <f t="shared" si="3"/>
        <v>-14.500000000000002</v>
      </c>
      <c r="H7">
        <f t="shared" si="2"/>
        <v>1.9403418415144813E-3</v>
      </c>
    </row>
    <row r="8" spans="1:8" x14ac:dyDescent="0.25">
      <c r="A8">
        <v>-9</v>
      </c>
      <c r="B8">
        <f t="shared" ref="B8:B20" si="4">EXP(A8)-ATAN(A8)-1.5</f>
        <v>-3.973748457491233E-2</v>
      </c>
      <c r="D8">
        <v>-0.4</v>
      </c>
      <c r="E8">
        <f t="shared" si="1"/>
        <v>-0.44917357685199577</v>
      </c>
      <c r="G8">
        <f t="shared" si="3"/>
        <v>-14.400000000000002</v>
      </c>
      <c r="H8">
        <f t="shared" si="2"/>
        <v>1.4637504970571591E-3</v>
      </c>
    </row>
    <row r="9" spans="1:8" x14ac:dyDescent="0.25">
      <c r="A9">
        <v>-8</v>
      </c>
      <c r="B9">
        <f t="shared" si="4"/>
        <v>-5.3223205123962503E-2</v>
      </c>
      <c r="D9">
        <v>-0.3</v>
      </c>
      <c r="E9">
        <f t="shared" si="1"/>
        <v>-0.46772498484041503</v>
      </c>
      <c r="G9">
        <f t="shared" si="3"/>
        <v>-14.300000000000002</v>
      </c>
      <c r="H9">
        <f t="shared" si="2"/>
        <v>9.8053059417568811E-4</v>
      </c>
    </row>
    <row r="10" spans="1:8" x14ac:dyDescent="0.25">
      <c r="A10">
        <v>-7</v>
      </c>
      <c r="B10">
        <f t="shared" si="4"/>
        <v>-7.0188845843712766E-2</v>
      </c>
      <c r="D10">
        <v>-0.2</v>
      </c>
      <c r="E10">
        <f t="shared" si="1"/>
        <v>-0.4838736870721374</v>
      </c>
      <c r="G10">
        <f t="shared" si="3"/>
        <v>-14.200000000000003</v>
      </c>
      <c r="H10">
        <f t="shared" si="2"/>
        <v>4.905434744064685E-4</v>
      </c>
    </row>
    <row r="11" spans="1:8" x14ac:dyDescent="0.25">
      <c r="A11">
        <v>-6</v>
      </c>
      <c r="B11">
        <f t="shared" si="4"/>
        <v>-9.1873598443063864E-2</v>
      </c>
      <c r="D11">
        <v>-0.1</v>
      </c>
      <c r="E11">
        <f t="shared" si="1"/>
        <v>-0.4954939294728784</v>
      </c>
      <c r="G11">
        <f t="shared" si="3"/>
        <v>-14.100000000000003</v>
      </c>
      <c r="H11">
        <f t="shared" si="2"/>
        <v>-6.3533767127310625E-6</v>
      </c>
    </row>
    <row r="12" spans="1:8" x14ac:dyDescent="0.25">
      <c r="A12">
        <v>-5</v>
      </c>
      <c r="B12">
        <f t="shared" si="4"/>
        <v>-0.11986128605589874</v>
      </c>
      <c r="D12">
        <v>0</v>
      </c>
      <c r="E12">
        <f t="shared" si="1"/>
        <v>-0.5</v>
      </c>
      <c r="G12">
        <f t="shared" si="3"/>
        <v>-14.000000000000004</v>
      </c>
      <c r="H12">
        <f t="shared" si="2"/>
        <v>-5.1030646167449234E-4</v>
      </c>
    </row>
    <row r="13" spans="1:8" x14ac:dyDescent="0.25">
      <c r="A13">
        <v>-4</v>
      </c>
      <c r="B13">
        <f t="shared" si="4"/>
        <v>-0.15586669744323323</v>
      </c>
      <c r="D13">
        <v>0.1</v>
      </c>
      <c r="E13">
        <f t="shared" si="1"/>
        <v>-0.49449773441551437</v>
      </c>
      <c r="G13">
        <f t="shared" si="3"/>
        <v>-13.900000000000004</v>
      </c>
      <c r="H13">
        <f t="shared" si="2"/>
        <v>-1.0214664082563996E-3</v>
      </c>
    </row>
    <row r="14" spans="1:8" x14ac:dyDescent="0.25">
      <c r="A14">
        <v>-3</v>
      </c>
      <c r="B14">
        <f t="shared" si="4"/>
        <v>-0.20116715923388173</v>
      </c>
      <c r="D14">
        <v>0.2</v>
      </c>
      <c r="E14">
        <f t="shared" si="1"/>
        <v>-0.47599280168971081</v>
      </c>
      <c r="G14">
        <f t="shared" si="3"/>
        <v>-13.800000000000004</v>
      </c>
      <c r="H14">
        <f t="shared" si="2"/>
        <v>-1.5399881122273307E-3</v>
      </c>
    </row>
    <row r="15" spans="1:8" x14ac:dyDescent="0.25">
      <c r="A15">
        <v>-2</v>
      </c>
      <c r="B15">
        <f t="shared" si="4"/>
        <v>-0.25751599896929678</v>
      </c>
      <c r="D15">
        <v>0.3</v>
      </c>
      <c r="E15">
        <f t="shared" si="1"/>
        <v>-0.44159798690186403</v>
      </c>
      <c r="G15">
        <f t="shared" si="3"/>
        <v>-13.700000000000005</v>
      </c>
      <c r="H15">
        <f t="shared" si="2"/>
        <v>-2.0660308857378684E-3</v>
      </c>
    </row>
    <row r="16" spans="1:8" x14ac:dyDescent="0.25">
      <c r="A16">
        <v>-1</v>
      </c>
      <c r="B16">
        <f t="shared" si="4"/>
        <v>-0.34672239543110939</v>
      </c>
      <c r="D16">
        <v>0.4</v>
      </c>
      <c r="E16">
        <f t="shared" si="1"/>
        <v>-0.38868167947109455</v>
      </c>
      <c r="G16">
        <f t="shared" si="3"/>
        <v>-13.600000000000005</v>
      </c>
      <c r="H16">
        <f t="shared" si="2"/>
        <v>-2.5997586116350835E-3</v>
      </c>
    </row>
    <row r="17" spans="1:8" x14ac:dyDescent="0.25">
      <c r="A17">
        <v>0</v>
      </c>
      <c r="B17">
        <f t="shared" si="4"/>
        <v>-0.5</v>
      </c>
      <c r="D17">
        <v>0.5</v>
      </c>
      <c r="E17">
        <f t="shared" si="1"/>
        <v>-0.31492633830067795</v>
      </c>
      <c r="G17">
        <f t="shared" si="3"/>
        <v>-13.500000000000005</v>
      </c>
      <c r="H17">
        <f t="shared" si="2"/>
        <v>-3.1413399039572631E-3</v>
      </c>
    </row>
    <row r="18" spans="1:8" x14ac:dyDescent="0.25">
      <c r="A18">
        <v>1</v>
      </c>
      <c r="B18">
        <f t="shared" si="4"/>
        <v>0.43288366506159681</v>
      </c>
      <c r="D18">
        <v>0.6</v>
      </c>
      <c r="E18">
        <f t="shared" si="1"/>
        <v>-0.21830069988007539</v>
      </c>
      <c r="G18">
        <f t="shared" si="3"/>
        <v>-13.400000000000006</v>
      </c>
      <c r="H18">
        <f t="shared" si="2"/>
        <v>-3.6909482748728184E-3</v>
      </c>
    </row>
    <row r="19" spans="1:8" x14ac:dyDescent="0.25">
      <c r="A19">
        <v>2</v>
      </c>
      <c r="B19">
        <f t="shared" si="4"/>
        <v>4.78190738113656</v>
      </c>
      <c r="D19">
        <v>0.7</v>
      </c>
      <c r="E19">
        <f t="shared" si="1"/>
        <v>-9.6973256918731821E-2</v>
      </c>
      <c r="G19">
        <f t="shared" si="3"/>
        <v>-13.300000000000006</v>
      </c>
      <c r="H19">
        <f t="shared" si="2"/>
        <v>-4.2487623083344861E-3</v>
      </c>
    </row>
    <row r="20" spans="1:8" x14ac:dyDescent="0.25">
      <c r="A20">
        <v>3</v>
      </c>
      <c r="B20">
        <f t="shared" si="4"/>
        <v>17.336491150789413</v>
      </c>
      <c r="D20">
        <v>0.8</v>
      </c>
      <c r="E20">
        <f t="shared" si="1"/>
        <v>5.0799986268915021E-2</v>
      </c>
      <c r="G20">
        <f t="shared" si="3"/>
        <v>-13.200000000000006</v>
      </c>
      <c r="H20">
        <f t="shared" si="2"/>
        <v>-4.8149658407354856E-3</v>
      </c>
    </row>
    <row r="21" spans="1:8" x14ac:dyDescent="0.25">
      <c r="A21">
        <v>4</v>
      </c>
      <c r="B21">
        <f>EXP(A21)-ATAN(A21)-1.5</f>
        <v>51.772332369476203</v>
      </c>
      <c r="D21">
        <v>0.9</v>
      </c>
      <c r="E21">
        <f t="shared" si="1"/>
        <v>0.2267880093704433</v>
      </c>
      <c r="G21">
        <f t="shared" si="3"/>
        <v>-13.100000000000007</v>
      </c>
      <c r="H21">
        <f t="shared" si="2"/>
        <v>-5.3897481488665022E-3</v>
      </c>
    </row>
    <row r="22" spans="1:8" x14ac:dyDescent="0.25">
      <c r="A22">
        <v>5</v>
      </c>
      <c r="B22">
        <f>EXP(A22)-ATAN(A22)-1.5</f>
        <v>145.53975833563157</v>
      </c>
      <c r="D22">
        <v>1</v>
      </c>
      <c r="E22">
        <f t="shared" si="1"/>
        <v>0.43288366506159681</v>
      </c>
      <c r="G22">
        <f t="shared" si="3"/>
        <v>-13.000000000000007</v>
      </c>
      <c r="H22">
        <f t="shared" si="2"/>
        <v>-5.9733041454743674E-3</v>
      </c>
    </row>
    <row r="23" spans="1:8" x14ac:dyDescent="0.25">
      <c r="D23">
        <v>1.1000000000000001</v>
      </c>
      <c r="E23">
        <f t="shared" si="1"/>
        <v>0.67118475727200178</v>
      </c>
      <c r="G23">
        <f t="shared" si="3"/>
        <v>-12.900000000000007</v>
      </c>
      <c r="H23">
        <f t="shared" si="2"/>
        <v>-6.5658345827506182E-3</v>
      </c>
    </row>
    <row r="24" spans="1:8" x14ac:dyDescent="0.25">
      <c r="D24">
        <v>1.2</v>
      </c>
      <c r="E24">
        <f t="shared" si="1"/>
        <v>0.9440588721383536</v>
      </c>
      <c r="G24">
        <f t="shared" si="3"/>
        <v>-12.800000000000008</v>
      </c>
      <c r="H24">
        <f t="shared" si="2"/>
        <v>-7.1675462640734544E-3</v>
      </c>
    </row>
    <row r="25" spans="1:8" x14ac:dyDescent="0.25">
      <c r="D25">
        <v>1.3</v>
      </c>
      <c r="E25">
        <f t="shared" si="1"/>
        <v>1.254195967065884</v>
      </c>
      <c r="G25">
        <f t="shared" si="3"/>
        <v>-12.700000000000008</v>
      </c>
      <c r="H25">
        <f t="shared" si="2"/>
        <v>-7.7786522643514822E-3</v>
      </c>
    </row>
    <row r="26" spans="1:8" x14ac:dyDescent="0.25">
      <c r="D26">
        <v>1.4</v>
      </c>
      <c r="E26">
        <f t="shared" si="1"/>
        <v>1.6046531260325994</v>
      </c>
      <c r="G26">
        <f t="shared" si="3"/>
        <v>-12.600000000000009</v>
      </c>
      <c r="H26">
        <f t="shared" si="2"/>
        <v>-8.3993721593207393E-3</v>
      </c>
    </row>
    <row r="27" spans="1:8" x14ac:dyDescent="0.25">
      <c r="D27">
        <v>1.5</v>
      </c>
      <c r="E27">
        <f t="shared" si="1"/>
        <v>1.9988953470907354</v>
      </c>
      <c r="G27">
        <f t="shared" si="3"/>
        <v>-12.500000000000009</v>
      </c>
      <c r="H27">
        <f t="shared" si="2"/>
        <v>-9.0299322641684832E-3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3686-3296-4177-B77E-B947BD70F0F3}">
  <dimension ref="A1:Q199"/>
  <sheetViews>
    <sheetView workbookViewId="0">
      <selection activeCell="G18" sqref="G18"/>
    </sheetView>
  </sheetViews>
  <sheetFormatPr defaultRowHeight="15" x14ac:dyDescent="0.25"/>
  <cols>
    <col min="1" max="1" width="11.7109375" bestFit="1" customWidth="1"/>
    <col min="2" max="2" width="19.5703125" bestFit="1" customWidth="1"/>
    <col min="3" max="4" width="12.7109375" bestFit="1" customWidth="1"/>
    <col min="5" max="5" width="12" bestFit="1" customWidth="1"/>
    <col min="6" max="6" width="16.28515625" bestFit="1" customWidth="1"/>
    <col min="7" max="7" width="12" bestFit="1" customWidth="1"/>
    <col min="8" max="8" width="15.28515625" bestFit="1" customWidth="1"/>
    <col min="10" max="10" width="11.7109375" bestFit="1" customWidth="1"/>
    <col min="11" max="11" width="14.42578125" bestFit="1" customWidth="1"/>
    <col min="12" max="16" width="12.7109375" bestFit="1" customWidth="1"/>
    <col min="17" max="17" width="15.28515625" bestFit="1" customWidth="1"/>
  </cols>
  <sheetData>
    <row r="1" spans="1:17" x14ac:dyDescent="0.25">
      <c r="A1" s="29" t="s">
        <v>0</v>
      </c>
      <c r="B1" s="29"/>
      <c r="C1" s="29"/>
      <c r="D1" s="29"/>
      <c r="E1" s="29"/>
      <c r="F1" s="29"/>
      <c r="G1" s="29"/>
    </row>
    <row r="2" spans="1:17" ht="15.75" thickBot="1" x14ac:dyDescent="0.3"/>
    <row r="3" spans="1:17" ht="15.75" thickBot="1" x14ac:dyDescent="0.3">
      <c r="D3" s="5" t="s">
        <v>74</v>
      </c>
      <c r="E3" s="6">
        <v>9.9999999999999995E-7</v>
      </c>
    </row>
    <row r="4" spans="1:17" ht="15.75" thickBot="1" x14ac:dyDescent="0.3">
      <c r="A4" t="s">
        <v>204</v>
      </c>
      <c r="B4" s="12" cm="1">
        <f t="array" aca="1" ref="B4" ca="1">INDIRECT(_xlfn.TEXTBEFORE(ADDRESS(1,COLUMN(B3),2),"$")&amp;MATCH("STOP",H:H,0),1)</f>
        <v>0.76765326620127894</v>
      </c>
      <c r="M4" s="5" t="s">
        <v>74</v>
      </c>
      <c r="N4" s="6">
        <v>9.9999999999999995E-7</v>
      </c>
    </row>
    <row r="5" spans="1:17" x14ac:dyDescent="0.25">
      <c r="B5" s="3" t="s">
        <v>205</v>
      </c>
      <c r="C5" s="2" t="s">
        <v>8</v>
      </c>
      <c r="D5" s="2" t="s">
        <v>7</v>
      </c>
      <c r="E5" s="2" t="s">
        <v>9</v>
      </c>
      <c r="F5" s="2" t="s">
        <v>10</v>
      </c>
      <c r="G5" s="2" t="s">
        <v>11</v>
      </c>
      <c r="H5" s="2" t="s">
        <v>12</v>
      </c>
      <c r="J5" t="s">
        <v>204</v>
      </c>
      <c r="K5" s="12" cm="1">
        <f t="array" aca="1" ref="K5" ca="1">INDIRECT(_xlfn.TEXTBEFORE(ADDRESS(1,COLUMN(K4),2),"$")&amp;MATCH("STOP",Q:Q,0),1)</f>
        <v>-14.10126977273997</v>
      </c>
    </row>
    <row r="6" spans="1:17" x14ac:dyDescent="0.25">
      <c r="A6" t="s">
        <v>1</v>
      </c>
      <c r="B6">
        <v>1.5</v>
      </c>
      <c r="C6">
        <f>EXP(B6)-ATAN(B6)-1.5</f>
        <v>1.9988953470907354</v>
      </c>
      <c r="D6">
        <f>EXP(B6+E$3)-ATAN(B6+E$3)-1.5</f>
        <v>1.9988995210898812</v>
      </c>
      <c r="E6">
        <f>EXP(B6-E$3)-ATAN(B6-E$3)-1.5</f>
        <v>1.9988911730963563</v>
      </c>
      <c r="F6">
        <f>(D6-E6)/(E$3*2)</f>
        <v>4.1739967624465635</v>
      </c>
      <c r="G6">
        <f>B6-C6/F6</f>
        <v>1.0211075952250872</v>
      </c>
      <c r="H6" t="str">
        <f>IF(B7=B6,"STOP","")</f>
        <v/>
      </c>
      <c r="K6" s="3" t="s">
        <v>205</v>
      </c>
      <c r="L6" s="2" t="s">
        <v>8</v>
      </c>
      <c r="M6" s="2" t="s">
        <v>7</v>
      </c>
      <c r="N6" s="2" t="s">
        <v>9</v>
      </c>
      <c r="O6" s="2" t="s">
        <v>10</v>
      </c>
      <c r="P6" s="2" t="s">
        <v>11</v>
      </c>
      <c r="Q6" s="2" t="s">
        <v>12</v>
      </c>
    </row>
    <row r="7" spans="1:17" x14ac:dyDescent="0.25">
      <c r="A7" t="s">
        <v>2</v>
      </c>
      <c r="B7">
        <f>G6</f>
        <v>1.0211075952250872</v>
      </c>
      <c r="C7">
        <f t="shared" ref="C7:C12" si="0">EXP(B7)-ATAN(B7)-1.5</f>
        <v>0.48042668096717644</v>
      </c>
      <c r="D7">
        <f t="shared" ref="D7:D12" si="1">EXP(B7+E$3)-ATAN(B7+E$3)-1.5</f>
        <v>0.48042896767929122</v>
      </c>
      <c r="E7">
        <f t="shared" ref="E7:E12" si="2">EXP(B7-E$3)-ATAN(B7-E$3)-1.5</f>
        <v>0.4804243942583275</v>
      </c>
      <c r="F7">
        <f t="shared" ref="F7:F12" si="3">(D7-E7)/(E$3*2)</f>
        <v>2.2867104818580231</v>
      </c>
      <c r="G7">
        <f t="shared" ref="G7:G12" si="4">B7-C7/F7</f>
        <v>0.81101248927323322</v>
      </c>
      <c r="H7" t="str">
        <f t="shared" ref="H7:H12" si="5">IF(B8=B7,"STOP","")</f>
        <v/>
      </c>
      <c r="J7" t="s">
        <v>1</v>
      </c>
      <c r="K7">
        <v>-14.5</v>
      </c>
      <c r="L7">
        <f>EXP(K7)-ATAN(K7)-1.5</f>
        <v>1.9403418415144813E-3</v>
      </c>
      <c r="M7">
        <f>EXP(K7+E$3)-ATAN(K7+E$3)-1.5</f>
        <v>1.9403371082908905E-3</v>
      </c>
      <c r="N7">
        <f>EXP(K7-E$3)-ATAN(K7-E$3)-1.5</f>
        <v>1.9403465747378501E-3</v>
      </c>
      <c r="O7">
        <f>(M7-N7)/(E$3*2)</f>
        <v>-4.7332234798247441E-3</v>
      </c>
      <c r="P7">
        <f>K7-L7/O7</f>
        <v>-14.090059110924058</v>
      </c>
      <c r="Q7" t="str">
        <f>IF(K8=K7,"STOP","")</f>
        <v/>
      </c>
    </row>
    <row r="8" spans="1:17" x14ac:dyDescent="0.25">
      <c r="A8" t="s">
        <v>3</v>
      </c>
      <c r="B8">
        <f>G7</f>
        <v>0.81101248927323322</v>
      </c>
      <c r="C8">
        <f t="shared" si="0"/>
        <v>6.876522611208391E-2</v>
      </c>
      <c r="D8">
        <f t="shared" si="1"/>
        <v>6.8766873068179191E-2</v>
      </c>
      <c r="E8">
        <f t="shared" si="2"/>
        <v>6.8763579158829025E-2</v>
      </c>
      <c r="F8">
        <f t="shared" si="3"/>
        <v>1.6469546750830233</v>
      </c>
      <c r="G8">
        <f t="shared" si="4"/>
        <v>0.76925953325541352</v>
      </c>
      <c r="H8" t="str">
        <f t="shared" si="5"/>
        <v/>
      </c>
      <c r="J8" t="s">
        <v>2</v>
      </c>
      <c r="K8">
        <f>P7</f>
        <v>-14.090059110924058</v>
      </c>
      <c r="L8">
        <f>EXP(K8)-ATAN(K8)-1.5</f>
        <v>-5.6132494647087583E-5</v>
      </c>
      <c r="M8">
        <f>EXP(K8+E$3)-ATAN(K8+E$3)-1.5</f>
        <v>-5.6137505671127741E-5</v>
      </c>
      <c r="N8">
        <f>EXP(K8-E$3)-ATAN(K8-E$3)-1.5</f>
        <v>-5.6127483623935603E-5</v>
      </c>
      <c r="O8">
        <f>(M8-N8)/(E$3*2)</f>
        <v>-5.0110235960687532E-3</v>
      </c>
      <c r="P8">
        <f t="shared" ref="P8:P11" si="6">K8-L8/O8</f>
        <v>-14.101260913025154</v>
      </c>
      <c r="Q8" t="str">
        <f>IF(K9=K8,"STOP","")</f>
        <v/>
      </c>
    </row>
    <row r="9" spans="1:17" x14ac:dyDescent="0.25">
      <c r="A9" t="s">
        <v>4</v>
      </c>
      <c r="B9">
        <f>G8</f>
        <v>0.76925953325541352</v>
      </c>
      <c r="C9">
        <f t="shared" si="0"/>
        <v>2.4539135729781947E-3</v>
      </c>
      <c r="D9">
        <f t="shared" si="1"/>
        <v>2.4554435066495017E-3</v>
      </c>
      <c r="E9">
        <f t="shared" si="2"/>
        <v>2.4523836420717871E-3</v>
      </c>
      <c r="F9">
        <f t="shared" si="3"/>
        <v>1.5299322888573386</v>
      </c>
      <c r="G9">
        <f t="shared" si="4"/>
        <v>0.76765559719180454</v>
      </c>
      <c r="H9" t="str">
        <f t="shared" si="5"/>
        <v/>
      </c>
      <c r="J9" t="s">
        <v>3</v>
      </c>
      <c r="K9">
        <f>P8</f>
        <v>-14.101260913025154</v>
      </c>
      <c r="L9">
        <f>EXP(K9)-ATAN(K9)-1.5</f>
        <v>-4.4326122772275767E-8</v>
      </c>
      <c r="M9">
        <f>EXP(K9+E$3)-ATAN(K9+E$3)-1.5</f>
        <v>-4.9329235585204856E-8</v>
      </c>
      <c r="N9">
        <f>EXP(K9-E$3)-ATAN(K9-E$3)-1.5</f>
        <v>-3.9323010403435887E-8</v>
      </c>
      <c r="O9">
        <f>(M9-N9)/(E$3*2)</f>
        <v>-5.0031125908844842E-3</v>
      </c>
      <c r="P9">
        <f t="shared" si="6"/>
        <v>-14.101269772734378</v>
      </c>
      <c r="Q9" t="str">
        <f>IF(K10=K9,"STOP","")</f>
        <v/>
      </c>
    </row>
    <row r="10" spans="1:17" x14ac:dyDescent="0.25">
      <c r="A10" t="s">
        <v>5</v>
      </c>
      <c r="B10" s="4">
        <f>G9</f>
        <v>0.76765559719180454</v>
      </c>
      <c r="C10">
        <f t="shared" si="0"/>
        <v>3.555916353814581E-6</v>
      </c>
      <c r="D10">
        <f t="shared" si="1"/>
        <v>5.081416796448579E-6</v>
      </c>
      <c r="E10">
        <f t="shared" si="2"/>
        <v>2.0304186734154683E-6</v>
      </c>
      <c r="F10">
        <f t="shared" si="3"/>
        <v>1.5254990615165553</v>
      </c>
      <c r="G10">
        <f t="shared" si="4"/>
        <v>0.76765326620619889</v>
      </c>
      <c r="H10" t="str">
        <f t="shared" si="5"/>
        <v/>
      </c>
      <c r="J10" t="s">
        <v>4</v>
      </c>
      <c r="K10">
        <f>P9</f>
        <v>-14.101269772734378</v>
      </c>
      <c r="L10">
        <f>EXP(K10)-ATAN(K10)-1.5</f>
        <v>-2.7977620220553945E-14</v>
      </c>
      <c r="M10">
        <f>EXP(K10+E$3)-ATAN(K10+E$3)-1.5</f>
        <v>-5.0031345733003718E-9</v>
      </c>
      <c r="N10">
        <f>EXP(K10-E$3)-ATAN(K10-E$3)-1.5</f>
        <v>5.0030781739707209E-9</v>
      </c>
      <c r="O10">
        <f>(M10-N10)/(E$3*2)</f>
        <v>-5.0031063736355463E-3</v>
      </c>
      <c r="P10">
        <f t="shared" si="6"/>
        <v>-14.10126977273997</v>
      </c>
      <c r="Q10" t="str">
        <f>IF(K11=K10,"STOP","")</f>
        <v/>
      </c>
    </row>
    <row r="11" spans="1:17" x14ac:dyDescent="0.25">
      <c r="A11" t="s">
        <v>13</v>
      </c>
      <c r="B11" s="4">
        <f t="shared" ref="B11:B13" si="7">G10</f>
        <v>0.76765326620619889</v>
      </c>
      <c r="C11">
        <f t="shared" si="0"/>
        <v>7.5053296910709832E-12</v>
      </c>
      <c r="D11">
        <f t="shared" si="1"/>
        <v>1.5255015086701462E-6</v>
      </c>
      <c r="E11">
        <f t="shared" si="2"/>
        <v>-1.5254837353317896E-6</v>
      </c>
      <c r="F11">
        <f t="shared" si="3"/>
        <v>1.5254926220009679</v>
      </c>
      <c r="G11">
        <f t="shared" si="4"/>
        <v>0.76765326620127894</v>
      </c>
      <c r="H11" t="str">
        <f t="shared" si="5"/>
        <v/>
      </c>
      <c r="J11" t="s">
        <v>5</v>
      </c>
      <c r="K11" s="4">
        <f>P10</f>
        <v>-14.10126977273997</v>
      </c>
      <c r="L11">
        <f>EXP(K11)-ATAN(K11)-1.5</f>
        <v>0</v>
      </c>
      <c r="M11">
        <f>EXP(K11+E$3)-ATAN(K11+E$3)-1.5</f>
        <v>-5.0031065956801513E-9</v>
      </c>
      <c r="N11">
        <f>EXP(K11-E$3)-ATAN(K11-E$3)-1.5</f>
        <v>5.0031059295463365E-9</v>
      </c>
      <c r="O11">
        <f>(M11-N11)/(E$3*2)</f>
        <v>-5.0031062626132439E-3</v>
      </c>
      <c r="P11">
        <f t="shared" si="6"/>
        <v>-14.10126977273997</v>
      </c>
      <c r="Q11" t="str">
        <f>IF(K12=K11,"STOP","")</f>
        <v>STOP</v>
      </c>
    </row>
    <row r="12" spans="1:17" x14ac:dyDescent="0.25">
      <c r="A12" t="s">
        <v>14</v>
      </c>
      <c r="B12" s="4">
        <f t="shared" si="7"/>
        <v>0.76765326620127894</v>
      </c>
      <c r="C12">
        <f t="shared" si="0"/>
        <v>0</v>
      </c>
      <c r="D12">
        <f t="shared" si="1"/>
        <v>1.5254940033404552E-6</v>
      </c>
      <c r="E12">
        <f t="shared" si="2"/>
        <v>-1.5254912404394361E-6</v>
      </c>
      <c r="F12">
        <f t="shared" si="3"/>
        <v>1.5254926218899456</v>
      </c>
      <c r="G12">
        <f t="shared" si="4"/>
        <v>0.76765326620127894</v>
      </c>
      <c r="H12" t="str">
        <f t="shared" si="5"/>
        <v>STOP</v>
      </c>
      <c r="J12" t="s">
        <v>13</v>
      </c>
      <c r="K12" s="4">
        <f>P11</f>
        <v>-14.10126977273997</v>
      </c>
    </row>
    <row r="13" spans="1:17" x14ac:dyDescent="0.25">
      <c r="A13" t="s">
        <v>15</v>
      </c>
      <c r="B13" s="4">
        <f t="shared" si="7"/>
        <v>0.76765326620127894</v>
      </c>
      <c r="K13" s="4"/>
    </row>
    <row r="14" spans="1:17" x14ac:dyDescent="0.25">
      <c r="B14" s="4"/>
    </row>
    <row r="15" spans="1:17" x14ac:dyDescent="0.25">
      <c r="B1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46C-E293-49D0-A3D5-8B1394DDB3C5}">
  <dimension ref="A1:O244"/>
  <sheetViews>
    <sheetView workbookViewId="0">
      <selection activeCell="I13" sqref="I13"/>
    </sheetView>
  </sheetViews>
  <sheetFormatPr defaultRowHeight="15" x14ac:dyDescent="0.25"/>
  <cols>
    <col min="1" max="1" width="11.7109375" bestFit="1" customWidth="1"/>
    <col min="2" max="2" width="17.85546875" bestFit="1" customWidth="1"/>
    <col min="3" max="4" width="12" bestFit="1" customWidth="1"/>
    <col min="5" max="5" width="12.7109375" bestFit="1" customWidth="1"/>
    <col min="6" max="7" width="12" bestFit="1" customWidth="1"/>
    <col min="8" max="8" width="15.28515625" bestFit="1" customWidth="1"/>
    <col min="10" max="10" width="14" bestFit="1" customWidth="1"/>
    <col min="11" max="11" width="13.28515625" bestFit="1" customWidth="1"/>
    <col min="14" max="14" width="14" bestFit="1" customWidth="1"/>
    <col min="15" max="15" width="13.28515625" bestFit="1" customWidth="1"/>
  </cols>
  <sheetData>
    <row r="1" spans="1:15" x14ac:dyDescent="0.25">
      <c r="A1" s="29" t="s">
        <v>206</v>
      </c>
      <c r="B1" s="29"/>
      <c r="C1" s="29"/>
      <c r="D1" s="29"/>
      <c r="E1" s="29"/>
      <c r="F1" s="29"/>
      <c r="G1" s="29"/>
    </row>
    <row r="2" spans="1:15" ht="15.75" thickBot="1" x14ac:dyDescent="0.3"/>
    <row r="3" spans="1:15" ht="15.75" thickBot="1" x14ac:dyDescent="0.3">
      <c r="D3" s="5" t="s">
        <v>74</v>
      </c>
      <c r="E3" s="6">
        <v>9.9999999999999995E-7</v>
      </c>
      <c r="N3" s="9" t="s">
        <v>207</v>
      </c>
      <c r="O3" s="9" t="s">
        <v>208</v>
      </c>
    </row>
    <row r="4" spans="1:15" x14ac:dyDescent="0.25">
      <c r="B4" s="11"/>
      <c r="J4" s="30" t="s">
        <v>209</v>
      </c>
      <c r="K4" s="30"/>
      <c r="N4" s="10">
        <v>-40</v>
      </c>
      <c r="O4" s="10">
        <v>40</v>
      </c>
    </row>
    <row r="5" spans="1:15" x14ac:dyDescent="0.25">
      <c r="B5" s="7" t="s">
        <v>205</v>
      </c>
      <c r="C5" s="2" t="s">
        <v>8</v>
      </c>
      <c r="D5" s="2" t="s">
        <v>7</v>
      </c>
      <c r="E5" s="2" t="s">
        <v>9</v>
      </c>
      <c r="F5" s="2" t="s">
        <v>10</v>
      </c>
      <c r="G5" s="2" t="s">
        <v>11</v>
      </c>
      <c r="H5" s="2" t="s">
        <v>12</v>
      </c>
      <c r="J5" s="8" t="s">
        <v>207</v>
      </c>
      <c r="K5" s="8" t="s">
        <v>208</v>
      </c>
      <c r="N5" s="10">
        <v>-30</v>
      </c>
      <c r="O5" s="10">
        <v>11</v>
      </c>
    </row>
    <row r="6" spans="1:15" x14ac:dyDescent="0.25">
      <c r="A6" t="s">
        <v>1</v>
      </c>
      <c r="B6">
        <v>-10</v>
      </c>
      <c r="C6">
        <f>EXP(B6)-ATAN(B6)-1.5</f>
        <v>-2.8826925766502809E-2</v>
      </c>
      <c r="D6">
        <f>EXP(B6+E$3)-ATAN(B6+E$3)-1.5</f>
        <v>-2.8826935622094041E-2</v>
      </c>
      <c r="E6">
        <f>EXP(B6-E$3)-ATAN(B6-E$3)-1.5</f>
        <v>-2.8826915910913797E-2</v>
      </c>
      <c r="F6">
        <f>(D6-E6)/(E$3*2)</f>
        <v>-9.8555901217878272E-3</v>
      </c>
      <c r="G6">
        <f>B6-C6/F6</f>
        <v>-12.924931476480024</v>
      </c>
      <c r="H6" t="str">
        <f t="shared" ref="H6:H12" si="0">IF(B7=B6,"STOP","")</f>
        <v/>
      </c>
      <c r="J6">
        <f>B6</f>
        <v>-10</v>
      </c>
      <c r="K6">
        <f>MATCH("STOP",H:H,0)-5</f>
        <v>6</v>
      </c>
      <c r="N6" s="10">
        <v>-20</v>
      </c>
      <c r="O6" s="10">
        <v>7</v>
      </c>
    </row>
    <row r="7" spans="1:15" x14ac:dyDescent="0.25">
      <c r="A7" t="s">
        <v>2</v>
      </c>
      <c r="B7">
        <f t="shared" ref="B7:B12" si="1">G6</f>
        <v>-12.924931476480024</v>
      </c>
      <c r="C7">
        <f t="shared" ref="C7:C70" si="2">EXP(B7)-ATAN(B7)-1.5</f>
        <v>-6.4172569937983592E-3</v>
      </c>
      <c r="D7">
        <f t="shared" ref="D7:D12" si="3">EXP(B7+E$3)-ATAN(B7+E$3)-1.5</f>
        <v>-6.4172629418357552E-3</v>
      </c>
      <c r="E7">
        <f t="shared" ref="E7:E12" si="4">EXP(B7-E$3)-ATAN(B7-E$3)-1.5</f>
        <v>-6.4172510457618515E-3</v>
      </c>
      <c r="F7">
        <f t="shared" ref="F7:F12" si="5">(D7-E7)/(E$3*2)</f>
        <v>-5.9480369518638554E-3</v>
      </c>
      <c r="G7">
        <f t="shared" ref="G7:G12" si="6">B7-C7/F7</f>
        <v>-14.00381801429608</v>
      </c>
      <c r="H7" t="str">
        <f t="shared" si="0"/>
        <v/>
      </c>
      <c r="N7" s="10">
        <v>-10</v>
      </c>
      <c r="O7" s="10">
        <v>6</v>
      </c>
    </row>
    <row r="8" spans="1:15" x14ac:dyDescent="0.25">
      <c r="A8" t="s">
        <v>3</v>
      </c>
      <c r="B8">
        <f t="shared" si="1"/>
        <v>-14.00381801429608</v>
      </c>
      <c r="C8">
        <f t="shared" si="2"/>
        <v>-4.9093410436396034E-4</v>
      </c>
      <c r="D8">
        <f t="shared" si="3"/>
        <v>-4.9093917692455413E-4</v>
      </c>
      <c r="E8">
        <f t="shared" si="4"/>
        <v>-4.9092903180403269E-4</v>
      </c>
      <c r="F8">
        <f t="shared" si="5"/>
        <v>-5.0725602607215592E-3</v>
      </c>
      <c r="G8">
        <f t="shared" si="6"/>
        <v>-14.10060032522601</v>
      </c>
      <c r="H8" t="str">
        <f t="shared" si="0"/>
        <v/>
      </c>
      <c r="N8" s="10">
        <v>7.0000000000000007E-2</v>
      </c>
      <c r="O8" s="10">
        <v>13</v>
      </c>
    </row>
    <row r="9" spans="1:15" x14ac:dyDescent="0.25">
      <c r="A9" t="s">
        <v>4</v>
      </c>
      <c r="B9">
        <f t="shared" si="1"/>
        <v>-14.10060032522601</v>
      </c>
      <c r="C9">
        <f t="shared" si="2"/>
        <v>-3.3494751485729779E-6</v>
      </c>
      <c r="D9">
        <f t="shared" si="3"/>
        <v>-3.3544787274575327E-6</v>
      </c>
      <c r="E9">
        <f t="shared" si="4"/>
        <v>-3.3444715701325123E-6</v>
      </c>
      <c r="F9">
        <f t="shared" si="5"/>
        <v>-5.0035786625102219E-3</v>
      </c>
      <c r="G9">
        <f t="shared" si="6"/>
        <v>-14.101269741133002</v>
      </c>
      <c r="H9" t="str">
        <f t="shared" si="0"/>
        <v/>
      </c>
      <c r="N9" s="10">
        <v>0.09</v>
      </c>
      <c r="O9" s="10">
        <v>12</v>
      </c>
    </row>
    <row r="10" spans="1:15" x14ac:dyDescent="0.25">
      <c r="A10" t="s">
        <v>5</v>
      </c>
      <c r="B10" s="4">
        <f t="shared" si="1"/>
        <v>-14.101269741133002</v>
      </c>
      <c r="C10">
        <f t="shared" si="2"/>
        <v>-1.5813284015564477E-10</v>
      </c>
      <c r="D10">
        <f t="shared" si="3"/>
        <v>-5.161239657880401E-9</v>
      </c>
      <c r="E10">
        <f t="shared" si="4"/>
        <v>4.8449728673460868E-9</v>
      </c>
      <c r="F10">
        <f t="shared" si="5"/>
        <v>-5.0031062626132439E-3</v>
      </c>
      <c r="G10">
        <f t="shared" si="6"/>
        <v>-14.101269772739935</v>
      </c>
      <c r="H10" t="str">
        <f t="shared" si="0"/>
        <v/>
      </c>
      <c r="N10" s="10">
        <v>0.1</v>
      </c>
      <c r="O10" s="10">
        <v>11</v>
      </c>
    </row>
    <row r="11" spans="1:15" x14ac:dyDescent="0.25">
      <c r="A11" t="s">
        <v>13</v>
      </c>
      <c r="B11" s="4">
        <f t="shared" si="1"/>
        <v>-14.101269772739935</v>
      </c>
      <c r="C11">
        <f t="shared" si="2"/>
        <v>0</v>
      </c>
      <c r="D11">
        <f t="shared" si="3"/>
        <v>-5.0031068177247562E-9</v>
      </c>
      <c r="E11">
        <f t="shared" si="4"/>
        <v>5.0031057075017316E-9</v>
      </c>
      <c r="F11">
        <f t="shared" si="5"/>
        <v>-5.0031062626132439E-3</v>
      </c>
      <c r="G11">
        <f t="shared" si="6"/>
        <v>-14.101269772739935</v>
      </c>
      <c r="H11" t="str">
        <f t="shared" si="0"/>
        <v>STOP</v>
      </c>
      <c r="N11" s="10">
        <v>0.2</v>
      </c>
      <c r="O11" s="10">
        <v>9</v>
      </c>
    </row>
    <row r="12" spans="1:15" x14ac:dyDescent="0.25">
      <c r="A12" t="s">
        <v>14</v>
      </c>
      <c r="B12" s="4">
        <f t="shared" si="1"/>
        <v>-14.101269772739935</v>
      </c>
      <c r="C12">
        <f t="shared" si="2"/>
        <v>0</v>
      </c>
      <c r="D12">
        <f t="shared" si="3"/>
        <v>-5.0031068177247562E-9</v>
      </c>
      <c r="E12">
        <f t="shared" si="4"/>
        <v>5.0031057075017316E-9</v>
      </c>
      <c r="F12">
        <f t="shared" si="5"/>
        <v>-5.0031062626132439E-3</v>
      </c>
      <c r="G12">
        <f t="shared" si="6"/>
        <v>-14.101269772739935</v>
      </c>
      <c r="H12" t="str">
        <f t="shared" si="0"/>
        <v>STOP</v>
      </c>
      <c r="N12" s="10">
        <v>0.3</v>
      </c>
      <c r="O12" s="10">
        <v>8</v>
      </c>
    </row>
    <row r="13" spans="1:15" x14ac:dyDescent="0.25">
      <c r="A13" t="s">
        <v>15</v>
      </c>
      <c r="B13" s="4">
        <f t="shared" ref="B13:B27" si="7">G12</f>
        <v>-14.101269772739935</v>
      </c>
      <c r="C13">
        <f t="shared" si="2"/>
        <v>0</v>
      </c>
      <c r="D13">
        <f t="shared" ref="D13:D29" si="8">EXP(B13+E$3)-ATAN(B13+E$3)-1.5</f>
        <v>-5.0031068177247562E-9</v>
      </c>
      <c r="E13">
        <f t="shared" ref="E13:E29" si="9">EXP(B13-E$3)-ATAN(B13-E$3)-1.5</f>
        <v>5.0031057075017316E-9</v>
      </c>
      <c r="F13">
        <f t="shared" ref="F13:F29" si="10">(D13-E13)/(E$3*2)</f>
        <v>-5.0031062626132439E-3</v>
      </c>
      <c r="G13">
        <f t="shared" ref="G13:G29" si="11">B13-C13/F13</f>
        <v>-14.101269772739935</v>
      </c>
      <c r="H13" t="str">
        <f t="shared" ref="H13:H27" si="12">IF(B14=B13,"STOP","")</f>
        <v>STOP</v>
      </c>
      <c r="N13" s="10">
        <v>0.5</v>
      </c>
      <c r="O13" s="10">
        <v>6</v>
      </c>
    </row>
    <row r="14" spans="1:15" x14ac:dyDescent="0.25">
      <c r="A14" t="s">
        <v>16</v>
      </c>
      <c r="B14" s="4">
        <f t="shared" si="7"/>
        <v>-14.101269772739935</v>
      </c>
      <c r="C14">
        <f t="shared" si="2"/>
        <v>0</v>
      </c>
      <c r="D14">
        <f t="shared" si="8"/>
        <v>-5.0031068177247562E-9</v>
      </c>
      <c r="E14">
        <f t="shared" si="9"/>
        <v>5.0031057075017316E-9</v>
      </c>
      <c r="F14">
        <f t="shared" si="10"/>
        <v>-5.0031062626132439E-3</v>
      </c>
      <c r="G14">
        <f t="shared" si="11"/>
        <v>-14.101269772739935</v>
      </c>
      <c r="H14" t="str">
        <f t="shared" si="12"/>
        <v>STOP</v>
      </c>
      <c r="N14" s="10">
        <v>0.7</v>
      </c>
      <c r="O14" s="10">
        <v>5</v>
      </c>
    </row>
    <row r="15" spans="1:15" x14ac:dyDescent="0.25">
      <c r="A15" t="s">
        <v>17</v>
      </c>
      <c r="B15" s="4">
        <f t="shared" si="7"/>
        <v>-14.101269772739935</v>
      </c>
      <c r="C15">
        <f t="shared" si="2"/>
        <v>0</v>
      </c>
      <c r="D15">
        <f t="shared" si="8"/>
        <v>-5.0031068177247562E-9</v>
      </c>
      <c r="E15">
        <f t="shared" si="9"/>
        <v>5.0031057075017316E-9</v>
      </c>
      <c r="F15">
        <f t="shared" si="10"/>
        <v>-5.0031062626132439E-3</v>
      </c>
      <c r="G15">
        <f t="shared" si="11"/>
        <v>-14.101269772739935</v>
      </c>
      <c r="H15" t="str">
        <f t="shared" si="12"/>
        <v>STOP</v>
      </c>
      <c r="N15" s="10">
        <v>1</v>
      </c>
      <c r="O15" s="10">
        <v>6</v>
      </c>
    </row>
    <row r="16" spans="1:15" x14ac:dyDescent="0.25">
      <c r="A16" t="s">
        <v>18</v>
      </c>
      <c r="B16" s="4">
        <f t="shared" si="7"/>
        <v>-14.101269772739935</v>
      </c>
      <c r="C16">
        <f t="shared" si="2"/>
        <v>0</v>
      </c>
      <c r="D16">
        <f t="shared" si="8"/>
        <v>-5.0031068177247562E-9</v>
      </c>
      <c r="E16">
        <f t="shared" si="9"/>
        <v>5.0031057075017316E-9</v>
      </c>
      <c r="F16">
        <f t="shared" si="10"/>
        <v>-5.0031062626132439E-3</v>
      </c>
      <c r="G16">
        <f t="shared" si="11"/>
        <v>-14.101269772739935</v>
      </c>
      <c r="H16" t="str">
        <f t="shared" si="12"/>
        <v>STOP</v>
      </c>
      <c r="N16" s="10">
        <v>1.2</v>
      </c>
      <c r="O16" s="10">
        <v>6</v>
      </c>
    </row>
    <row r="17" spans="1:15" x14ac:dyDescent="0.25">
      <c r="A17" t="s">
        <v>19</v>
      </c>
      <c r="B17" s="4">
        <f t="shared" si="7"/>
        <v>-14.101269772739935</v>
      </c>
      <c r="C17">
        <f t="shared" si="2"/>
        <v>0</v>
      </c>
      <c r="D17">
        <f t="shared" si="8"/>
        <v>-5.0031068177247562E-9</v>
      </c>
      <c r="E17">
        <f t="shared" si="9"/>
        <v>5.0031057075017316E-9</v>
      </c>
      <c r="F17">
        <f t="shared" si="10"/>
        <v>-5.0031062626132439E-3</v>
      </c>
      <c r="G17">
        <f t="shared" si="11"/>
        <v>-14.101269772739935</v>
      </c>
      <c r="H17" t="str">
        <f t="shared" si="12"/>
        <v>STOP</v>
      </c>
      <c r="N17" s="10">
        <v>1.7</v>
      </c>
      <c r="O17" s="10">
        <v>7</v>
      </c>
    </row>
    <row r="18" spans="1:15" x14ac:dyDescent="0.25">
      <c r="A18" t="s">
        <v>20</v>
      </c>
      <c r="B18" s="4">
        <f t="shared" si="7"/>
        <v>-14.101269772739935</v>
      </c>
      <c r="C18">
        <f t="shared" si="2"/>
        <v>0</v>
      </c>
      <c r="D18">
        <f t="shared" si="8"/>
        <v>-5.0031068177247562E-9</v>
      </c>
      <c r="E18">
        <f t="shared" si="9"/>
        <v>5.0031057075017316E-9</v>
      </c>
      <c r="F18">
        <f t="shared" si="10"/>
        <v>-5.0031062626132439E-3</v>
      </c>
      <c r="G18">
        <f t="shared" si="11"/>
        <v>-14.101269772739935</v>
      </c>
      <c r="H18" t="str">
        <f t="shared" si="12"/>
        <v>STOP</v>
      </c>
      <c r="N18" s="10">
        <v>2</v>
      </c>
      <c r="O18" s="10">
        <v>8</v>
      </c>
    </row>
    <row r="19" spans="1:15" x14ac:dyDescent="0.25">
      <c r="A19" t="s">
        <v>21</v>
      </c>
      <c r="B19" s="4">
        <f t="shared" si="7"/>
        <v>-14.101269772739935</v>
      </c>
      <c r="C19">
        <f t="shared" si="2"/>
        <v>0</v>
      </c>
      <c r="D19">
        <f t="shared" si="8"/>
        <v>-5.0031068177247562E-9</v>
      </c>
      <c r="E19">
        <f t="shared" si="9"/>
        <v>5.0031057075017316E-9</v>
      </c>
      <c r="F19">
        <f t="shared" si="10"/>
        <v>-5.0031062626132439E-3</v>
      </c>
      <c r="G19">
        <f t="shared" si="11"/>
        <v>-14.101269772739935</v>
      </c>
      <c r="H19" t="str">
        <f t="shared" si="12"/>
        <v>STOP</v>
      </c>
      <c r="N19" s="10">
        <v>2.7</v>
      </c>
      <c r="O19" s="10">
        <v>8</v>
      </c>
    </row>
    <row r="20" spans="1:15" x14ac:dyDescent="0.25">
      <c r="A20" t="s">
        <v>22</v>
      </c>
      <c r="B20" s="4">
        <f t="shared" si="7"/>
        <v>-14.101269772739935</v>
      </c>
      <c r="C20">
        <f t="shared" si="2"/>
        <v>0</v>
      </c>
      <c r="D20">
        <f t="shared" si="8"/>
        <v>-5.0031068177247562E-9</v>
      </c>
      <c r="E20">
        <f t="shared" si="9"/>
        <v>5.0031057075017316E-9</v>
      </c>
      <c r="F20">
        <f t="shared" si="10"/>
        <v>-5.0031062626132439E-3</v>
      </c>
      <c r="G20">
        <f t="shared" si="11"/>
        <v>-14.101269772739935</v>
      </c>
      <c r="H20" t="str">
        <f t="shared" si="12"/>
        <v>STOP</v>
      </c>
      <c r="N20" s="10">
        <v>3</v>
      </c>
      <c r="O20" s="10">
        <v>9</v>
      </c>
    </row>
    <row r="21" spans="1:15" x14ac:dyDescent="0.25">
      <c r="A21" t="s">
        <v>23</v>
      </c>
      <c r="B21" s="4">
        <f t="shared" si="7"/>
        <v>-14.101269772739935</v>
      </c>
      <c r="C21">
        <f t="shared" si="2"/>
        <v>0</v>
      </c>
      <c r="D21">
        <f t="shared" si="8"/>
        <v>-5.0031068177247562E-9</v>
      </c>
      <c r="E21">
        <f t="shared" si="9"/>
        <v>5.0031057075017316E-9</v>
      </c>
      <c r="F21">
        <f t="shared" si="10"/>
        <v>-5.0031062626132439E-3</v>
      </c>
      <c r="G21">
        <f t="shared" si="11"/>
        <v>-14.101269772739935</v>
      </c>
      <c r="H21" t="str">
        <f t="shared" si="12"/>
        <v>STOP</v>
      </c>
      <c r="N21" s="10">
        <v>3.5</v>
      </c>
      <c r="O21" s="10">
        <v>9</v>
      </c>
    </row>
    <row r="22" spans="1:15" x14ac:dyDescent="0.25">
      <c r="A22" t="s">
        <v>24</v>
      </c>
      <c r="B22" s="4">
        <f t="shared" si="7"/>
        <v>-14.101269772739935</v>
      </c>
      <c r="C22">
        <f t="shared" si="2"/>
        <v>0</v>
      </c>
      <c r="D22">
        <f t="shared" si="8"/>
        <v>-5.0031068177247562E-9</v>
      </c>
      <c r="E22">
        <f t="shared" si="9"/>
        <v>5.0031057075017316E-9</v>
      </c>
      <c r="F22">
        <f t="shared" si="10"/>
        <v>-5.0031062626132439E-3</v>
      </c>
      <c r="G22">
        <f t="shared" si="11"/>
        <v>-14.101269772739935</v>
      </c>
      <c r="H22" t="str">
        <f t="shared" si="12"/>
        <v>STOP</v>
      </c>
      <c r="N22" s="10">
        <v>4.5</v>
      </c>
      <c r="O22" s="10">
        <v>10</v>
      </c>
    </row>
    <row r="23" spans="1:15" x14ac:dyDescent="0.25">
      <c r="A23" t="s">
        <v>25</v>
      </c>
      <c r="B23" s="4">
        <f t="shared" si="7"/>
        <v>-14.101269772739935</v>
      </c>
      <c r="C23">
        <f t="shared" si="2"/>
        <v>0</v>
      </c>
      <c r="D23">
        <f t="shared" si="8"/>
        <v>-5.0031068177247562E-9</v>
      </c>
      <c r="E23">
        <f t="shared" si="9"/>
        <v>5.0031057075017316E-9</v>
      </c>
      <c r="F23">
        <f t="shared" si="10"/>
        <v>-5.0031062626132439E-3</v>
      </c>
      <c r="G23">
        <f t="shared" si="11"/>
        <v>-14.101269772739935</v>
      </c>
      <c r="H23" t="str">
        <f t="shared" si="12"/>
        <v>STOP</v>
      </c>
      <c r="N23" s="10">
        <v>5</v>
      </c>
      <c r="O23" s="10">
        <v>11</v>
      </c>
    </row>
    <row r="24" spans="1:15" x14ac:dyDescent="0.25">
      <c r="A24" t="s">
        <v>26</v>
      </c>
      <c r="B24" s="4">
        <f t="shared" si="7"/>
        <v>-14.101269772739935</v>
      </c>
      <c r="C24">
        <f t="shared" si="2"/>
        <v>0</v>
      </c>
      <c r="D24">
        <f t="shared" si="8"/>
        <v>-5.0031068177247562E-9</v>
      </c>
      <c r="E24">
        <f t="shared" si="9"/>
        <v>5.0031057075017316E-9</v>
      </c>
      <c r="F24">
        <f t="shared" si="10"/>
        <v>-5.0031062626132439E-3</v>
      </c>
      <c r="G24">
        <f t="shared" si="11"/>
        <v>-14.101269772739935</v>
      </c>
      <c r="H24" t="str">
        <f t="shared" si="12"/>
        <v>STOP</v>
      </c>
      <c r="N24" s="10">
        <v>7</v>
      </c>
      <c r="O24" s="10">
        <v>13</v>
      </c>
    </row>
    <row r="25" spans="1:15" x14ac:dyDescent="0.25">
      <c r="A25" t="s">
        <v>27</v>
      </c>
      <c r="B25" s="4">
        <f t="shared" si="7"/>
        <v>-14.101269772739935</v>
      </c>
      <c r="C25">
        <f t="shared" si="2"/>
        <v>0</v>
      </c>
      <c r="D25">
        <f t="shared" si="8"/>
        <v>-5.0031068177247562E-9</v>
      </c>
      <c r="E25">
        <f t="shared" si="9"/>
        <v>5.0031057075017316E-9</v>
      </c>
      <c r="F25">
        <f t="shared" si="10"/>
        <v>-5.0031062626132439E-3</v>
      </c>
      <c r="G25">
        <f t="shared" si="11"/>
        <v>-14.101269772739935</v>
      </c>
      <c r="H25" t="str">
        <f t="shared" si="12"/>
        <v>STOP</v>
      </c>
      <c r="N25" s="10">
        <v>10</v>
      </c>
      <c r="O25" s="10">
        <v>16</v>
      </c>
    </row>
    <row r="26" spans="1:15" x14ac:dyDescent="0.25">
      <c r="A26" t="s">
        <v>28</v>
      </c>
      <c r="B26" s="4">
        <f t="shared" si="7"/>
        <v>-14.101269772739935</v>
      </c>
      <c r="C26">
        <f t="shared" si="2"/>
        <v>0</v>
      </c>
      <c r="D26">
        <f t="shared" si="8"/>
        <v>-5.0031068177247562E-9</v>
      </c>
      <c r="E26">
        <f t="shared" si="9"/>
        <v>5.0031057075017316E-9</v>
      </c>
      <c r="F26">
        <f t="shared" si="10"/>
        <v>-5.0031062626132439E-3</v>
      </c>
      <c r="G26">
        <f t="shared" si="11"/>
        <v>-14.101269772739935</v>
      </c>
      <c r="H26" t="str">
        <f t="shared" si="12"/>
        <v>STOP</v>
      </c>
      <c r="N26" s="10">
        <v>16</v>
      </c>
      <c r="O26" s="10">
        <v>22</v>
      </c>
    </row>
    <row r="27" spans="1:15" x14ac:dyDescent="0.25">
      <c r="A27" t="s">
        <v>29</v>
      </c>
      <c r="B27" s="4">
        <f t="shared" si="7"/>
        <v>-14.101269772739935</v>
      </c>
      <c r="C27">
        <f t="shared" si="2"/>
        <v>0</v>
      </c>
      <c r="D27">
        <f t="shared" si="8"/>
        <v>-5.0031068177247562E-9</v>
      </c>
      <c r="E27">
        <f t="shared" si="9"/>
        <v>5.0031057075017316E-9</v>
      </c>
      <c r="F27">
        <f t="shared" si="10"/>
        <v>-5.0031062626132439E-3</v>
      </c>
      <c r="G27">
        <f t="shared" si="11"/>
        <v>-14.101269772739935</v>
      </c>
      <c r="H27" t="str">
        <f t="shared" si="12"/>
        <v>STOP</v>
      </c>
      <c r="N27" s="10">
        <v>30</v>
      </c>
      <c r="O27" s="10">
        <v>36</v>
      </c>
    </row>
    <row r="28" spans="1:15" x14ac:dyDescent="0.25">
      <c r="A28" t="s">
        <v>30</v>
      </c>
      <c r="B28" s="4">
        <f>G27</f>
        <v>-14.101269772739935</v>
      </c>
      <c r="C28">
        <f t="shared" si="2"/>
        <v>0</v>
      </c>
      <c r="D28">
        <f t="shared" si="8"/>
        <v>-5.0031068177247562E-9</v>
      </c>
      <c r="E28">
        <f t="shared" si="9"/>
        <v>5.0031057075017316E-9</v>
      </c>
      <c r="F28">
        <f t="shared" si="10"/>
        <v>-5.0031062626132439E-3</v>
      </c>
      <c r="G28">
        <f t="shared" si="11"/>
        <v>-14.101269772739935</v>
      </c>
      <c r="H28" t="str">
        <f>IF(B29=B28,"STOP","")</f>
        <v>STOP</v>
      </c>
    </row>
    <row r="29" spans="1:15" x14ac:dyDescent="0.25">
      <c r="A29" t="s">
        <v>31</v>
      </c>
      <c r="B29" s="4">
        <f>G28</f>
        <v>-14.101269772739935</v>
      </c>
      <c r="C29">
        <f t="shared" si="2"/>
        <v>0</v>
      </c>
      <c r="D29">
        <f t="shared" si="8"/>
        <v>-5.0031068177247562E-9</v>
      </c>
      <c r="E29">
        <f t="shared" si="9"/>
        <v>5.0031057075017316E-9</v>
      </c>
      <c r="F29">
        <f t="shared" si="10"/>
        <v>-5.0031062626132439E-3</v>
      </c>
      <c r="G29">
        <f t="shared" si="11"/>
        <v>-14.101269772739935</v>
      </c>
      <c r="H29" t="str">
        <f>IF(B30=B29,"STOP","")</f>
        <v>STOP</v>
      </c>
    </row>
    <row r="30" spans="1:15" x14ac:dyDescent="0.25">
      <c r="A30" t="s">
        <v>32</v>
      </c>
      <c r="B30" s="4">
        <f t="shared" ref="B30:B35" si="13">G29</f>
        <v>-14.101269772739935</v>
      </c>
      <c r="C30">
        <f t="shared" si="2"/>
        <v>0</v>
      </c>
      <c r="D30">
        <f t="shared" ref="D30:D35" si="14">EXP(B30+E$3)-ATAN(B30+E$3)-1.5</f>
        <v>-5.0031068177247562E-9</v>
      </c>
      <c r="E30">
        <f t="shared" ref="E30:E35" si="15">EXP(B30-E$3)-ATAN(B30-E$3)-1.5</f>
        <v>5.0031057075017316E-9</v>
      </c>
      <c r="F30">
        <f t="shared" ref="F30:F35" si="16">(D30-E30)/(E$3*2)</f>
        <v>-5.0031062626132439E-3</v>
      </c>
      <c r="G30">
        <f t="shared" ref="G30:G35" si="17">B30-C30/F30</f>
        <v>-14.101269772739935</v>
      </c>
      <c r="H30" t="str">
        <f t="shared" ref="H30:H35" si="18">IF(B31=B30,"STOP","")</f>
        <v>STOP</v>
      </c>
    </row>
    <row r="31" spans="1:15" x14ac:dyDescent="0.25">
      <c r="A31" t="s">
        <v>33</v>
      </c>
      <c r="B31" s="4">
        <f t="shared" si="13"/>
        <v>-14.101269772739935</v>
      </c>
      <c r="C31">
        <f t="shared" si="2"/>
        <v>0</v>
      </c>
      <c r="D31">
        <f t="shared" si="14"/>
        <v>-5.0031068177247562E-9</v>
      </c>
      <c r="E31">
        <f t="shared" si="15"/>
        <v>5.0031057075017316E-9</v>
      </c>
      <c r="F31">
        <f t="shared" si="16"/>
        <v>-5.0031062626132439E-3</v>
      </c>
      <c r="G31">
        <f t="shared" si="17"/>
        <v>-14.101269772739935</v>
      </c>
      <c r="H31" t="str">
        <f t="shared" si="18"/>
        <v>STOP</v>
      </c>
    </row>
    <row r="32" spans="1:15" x14ac:dyDescent="0.25">
      <c r="A32" t="s">
        <v>34</v>
      </c>
      <c r="B32" s="4">
        <f t="shared" si="13"/>
        <v>-14.101269772739935</v>
      </c>
      <c r="C32">
        <f t="shared" si="2"/>
        <v>0</v>
      </c>
      <c r="D32">
        <f t="shared" si="14"/>
        <v>-5.0031068177247562E-9</v>
      </c>
      <c r="E32">
        <f t="shared" si="15"/>
        <v>5.0031057075017316E-9</v>
      </c>
      <c r="F32">
        <f t="shared" si="16"/>
        <v>-5.0031062626132439E-3</v>
      </c>
      <c r="G32">
        <f t="shared" si="17"/>
        <v>-14.101269772739935</v>
      </c>
      <c r="H32" t="str">
        <f t="shared" si="18"/>
        <v>STOP</v>
      </c>
    </row>
    <row r="33" spans="1:8" x14ac:dyDescent="0.25">
      <c r="A33" t="s">
        <v>35</v>
      </c>
      <c r="B33" s="4">
        <f t="shared" si="13"/>
        <v>-14.101269772739935</v>
      </c>
      <c r="C33">
        <f t="shared" si="2"/>
        <v>0</v>
      </c>
      <c r="D33">
        <f t="shared" si="14"/>
        <v>-5.0031068177247562E-9</v>
      </c>
      <c r="E33">
        <f t="shared" si="15"/>
        <v>5.0031057075017316E-9</v>
      </c>
      <c r="F33">
        <f t="shared" si="16"/>
        <v>-5.0031062626132439E-3</v>
      </c>
      <c r="G33">
        <f t="shared" si="17"/>
        <v>-14.101269772739935</v>
      </c>
      <c r="H33" t="str">
        <f t="shared" si="18"/>
        <v>STOP</v>
      </c>
    </row>
    <row r="34" spans="1:8" x14ac:dyDescent="0.25">
      <c r="A34" t="s">
        <v>36</v>
      </c>
      <c r="B34" s="4">
        <f t="shared" si="13"/>
        <v>-14.101269772739935</v>
      </c>
      <c r="C34">
        <f t="shared" si="2"/>
        <v>0</v>
      </c>
      <c r="D34">
        <f t="shared" si="14"/>
        <v>-5.0031068177247562E-9</v>
      </c>
      <c r="E34">
        <f t="shared" si="15"/>
        <v>5.0031057075017316E-9</v>
      </c>
      <c r="F34">
        <f t="shared" si="16"/>
        <v>-5.0031062626132439E-3</v>
      </c>
      <c r="G34">
        <f t="shared" si="17"/>
        <v>-14.101269772739935</v>
      </c>
      <c r="H34" t="str">
        <f t="shared" si="18"/>
        <v>STOP</v>
      </c>
    </row>
    <row r="35" spans="1:8" x14ac:dyDescent="0.25">
      <c r="A35" t="s">
        <v>37</v>
      </c>
      <c r="B35" s="4">
        <f t="shared" si="13"/>
        <v>-14.101269772739935</v>
      </c>
      <c r="C35">
        <f t="shared" si="2"/>
        <v>0</v>
      </c>
      <c r="D35">
        <f t="shared" si="14"/>
        <v>-5.0031068177247562E-9</v>
      </c>
      <c r="E35">
        <f t="shared" si="15"/>
        <v>5.0031057075017316E-9</v>
      </c>
      <c r="F35">
        <f t="shared" si="16"/>
        <v>-5.0031062626132439E-3</v>
      </c>
      <c r="G35">
        <f t="shared" si="17"/>
        <v>-14.101269772739935</v>
      </c>
      <c r="H35" t="str">
        <f t="shared" si="18"/>
        <v>STOP</v>
      </c>
    </row>
    <row r="36" spans="1:8" x14ac:dyDescent="0.25">
      <c r="A36" t="s">
        <v>38</v>
      </c>
      <c r="B36" s="4">
        <f t="shared" ref="B36:B99" si="19">G35</f>
        <v>-14.101269772739935</v>
      </c>
      <c r="C36">
        <f t="shared" si="2"/>
        <v>0</v>
      </c>
      <c r="D36">
        <f t="shared" ref="D36:D99" si="20">EXP(B36+E$3)-ATAN(B36+E$3)-1.5</f>
        <v>-5.0031068177247562E-9</v>
      </c>
      <c r="E36">
        <f t="shared" ref="E36:E99" si="21">EXP(B36-E$3)-ATAN(B36-E$3)-1.5</f>
        <v>5.0031057075017316E-9</v>
      </c>
      <c r="F36">
        <f t="shared" ref="F36:F99" si="22">(D36-E36)/(E$3*2)</f>
        <v>-5.0031062626132439E-3</v>
      </c>
      <c r="G36">
        <f t="shared" ref="G36:G99" si="23">B36-C36/F36</f>
        <v>-14.101269772739935</v>
      </c>
      <c r="H36" t="str">
        <f t="shared" ref="H36:H99" si="24">IF(B37=B36,"STOP","")</f>
        <v>STOP</v>
      </c>
    </row>
    <row r="37" spans="1:8" x14ac:dyDescent="0.25">
      <c r="A37" t="s">
        <v>39</v>
      </c>
      <c r="B37" s="4">
        <f t="shared" si="19"/>
        <v>-14.101269772739935</v>
      </c>
      <c r="C37">
        <f t="shared" si="2"/>
        <v>0</v>
      </c>
      <c r="D37">
        <f t="shared" si="20"/>
        <v>-5.0031068177247562E-9</v>
      </c>
      <c r="E37">
        <f t="shared" si="21"/>
        <v>5.0031057075017316E-9</v>
      </c>
      <c r="F37">
        <f t="shared" si="22"/>
        <v>-5.0031062626132439E-3</v>
      </c>
      <c r="G37">
        <f t="shared" si="23"/>
        <v>-14.101269772739935</v>
      </c>
      <c r="H37" t="str">
        <f t="shared" si="24"/>
        <v>STOP</v>
      </c>
    </row>
    <row r="38" spans="1:8" x14ac:dyDescent="0.25">
      <c r="A38" t="s">
        <v>40</v>
      </c>
      <c r="B38" s="4">
        <f t="shared" si="19"/>
        <v>-14.101269772739935</v>
      </c>
      <c r="C38">
        <f t="shared" si="2"/>
        <v>0</v>
      </c>
      <c r="D38">
        <f t="shared" si="20"/>
        <v>-5.0031068177247562E-9</v>
      </c>
      <c r="E38">
        <f t="shared" si="21"/>
        <v>5.0031057075017316E-9</v>
      </c>
      <c r="F38">
        <f t="shared" si="22"/>
        <v>-5.0031062626132439E-3</v>
      </c>
      <c r="G38">
        <f t="shared" si="23"/>
        <v>-14.101269772739935</v>
      </c>
      <c r="H38" t="str">
        <f t="shared" si="24"/>
        <v>STOP</v>
      </c>
    </row>
    <row r="39" spans="1:8" x14ac:dyDescent="0.25">
      <c r="A39" t="s">
        <v>41</v>
      </c>
      <c r="B39" s="4">
        <f t="shared" si="19"/>
        <v>-14.101269772739935</v>
      </c>
      <c r="C39">
        <f t="shared" si="2"/>
        <v>0</v>
      </c>
      <c r="D39">
        <f t="shared" si="20"/>
        <v>-5.0031068177247562E-9</v>
      </c>
      <c r="E39">
        <f t="shared" si="21"/>
        <v>5.0031057075017316E-9</v>
      </c>
      <c r="F39">
        <f t="shared" si="22"/>
        <v>-5.0031062626132439E-3</v>
      </c>
      <c r="G39">
        <f t="shared" si="23"/>
        <v>-14.101269772739935</v>
      </c>
      <c r="H39" t="str">
        <f t="shared" si="24"/>
        <v>STOP</v>
      </c>
    </row>
    <row r="40" spans="1:8" x14ac:dyDescent="0.25">
      <c r="A40" t="s">
        <v>42</v>
      </c>
      <c r="B40" s="4">
        <f t="shared" si="19"/>
        <v>-14.101269772739935</v>
      </c>
      <c r="C40">
        <f t="shared" si="2"/>
        <v>0</v>
      </c>
      <c r="D40">
        <f t="shared" si="20"/>
        <v>-5.0031068177247562E-9</v>
      </c>
      <c r="E40">
        <f t="shared" si="21"/>
        <v>5.0031057075017316E-9</v>
      </c>
      <c r="F40">
        <f t="shared" si="22"/>
        <v>-5.0031062626132439E-3</v>
      </c>
      <c r="G40">
        <f t="shared" si="23"/>
        <v>-14.101269772739935</v>
      </c>
      <c r="H40" t="str">
        <f t="shared" si="24"/>
        <v>STOP</v>
      </c>
    </row>
    <row r="41" spans="1:8" x14ac:dyDescent="0.25">
      <c r="A41" t="s">
        <v>43</v>
      </c>
      <c r="B41" s="4">
        <f t="shared" si="19"/>
        <v>-14.101269772739935</v>
      </c>
      <c r="C41">
        <f t="shared" si="2"/>
        <v>0</v>
      </c>
      <c r="D41">
        <f t="shared" si="20"/>
        <v>-5.0031068177247562E-9</v>
      </c>
      <c r="E41">
        <f t="shared" si="21"/>
        <v>5.0031057075017316E-9</v>
      </c>
      <c r="F41">
        <f t="shared" si="22"/>
        <v>-5.0031062626132439E-3</v>
      </c>
      <c r="G41">
        <f t="shared" si="23"/>
        <v>-14.101269772739935</v>
      </c>
      <c r="H41" t="str">
        <f t="shared" si="24"/>
        <v>STOP</v>
      </c>
    </row>
    <row r="42" spans="1:8" x14ac:dyDescent="0.25">
      <c r="A42" t="s">
        <v>44</v>
      </c>
      <c r="B42" s="4">
        <f t="shared" si="19"/>
        <v>-14.101269772739935</v>
      </c>
      <c r="C42">
        <f t="shared" si="2"/>
        <v>0</v>
      </c>
      <c r="D42">
        <f t="shared" si="20"/>
        <v>-5.0031068177247562E-9</v>
      </c>
      <c r="E42">
        <f t="shared" si="21"/>
        <v>5.0031057075017316E-9</v>
      </c>
      <c r="F42">
        <f t="shared" si="22"/>
        <v>-5.0031062626132439E-3</v>
      </c>
      <c r="G42">
        <f t="shared" si="23"/>
        <v>-14.101269772739935</v>
      </c>
      <c r="H42" t="str">
        <f t="shared" si="24"/>
        <v>STOP</v>
      </c>
    </row>
    <row r="43" spans="1:8" x14ac:dyDescent="0.25">
      <c r="A43" t="s">
        <v>45</v>
      </c>
      <c r="B43" s="4">
        <f t="shared" si="19"/>
        <v>-14.101269772739935</v>
      </c>
      <c r="C43">
        <f t="shared" si="2"/>
        <v>0</v>
      </c>
      <c r="D43">
        <f t="shared" si="20"/>
        <v>-5.0031068177247562E-9</v>
      </c>
      <c r="E43">
        <f t="shared" si="21"/>
        <v>5.0031057075017316E-9</v>
      </c>
      <c r="F43">
        <f t="shared" si="22"/>
        <v>-5.0031062626132439E-3</v>
      </c>
      <c r="G43">
        <f t="shared" si="23"/>
        <v>-14.101269772739935</v>
      </c>
      <c r="H43" t="str">
        <f t="shared" si="24"/>
        <v>STOP</v>
      </c>
    </row>
    <row r="44" spans="1:8" x14ac:dyDescent="0.25">
      <c r="A44" t="s">
        <v>46</v>
      </c>
      <c r="B44" s="4">
        <f t="shared" si="19"/>
        <v>-14.101269772739935</v>
      </c>
      <c r="C44">
        <f t="shared" si="2"/>
        <v>0</v>
      </c>
      <c r="D44">
        <f t="shared" si="20"/>
        <v>-5.0031068177247562E-9</v>
      </c>
      <c r="E44">
        <f t="shared" si="21"/>
        <v>5.0031057075017316E-9</v>
      </c>
      <c r="F44">
        <f t="shared" si="22"/>
        <v>-5.0031062626132439E-3</v>
      </c>
      <c r="G44">
        <f t="shared" si="23"/>
        <v>-14.101269772739935</v>
      </c>
      <c r="H44" t="str">
        <f t="shared" si="24"/>
        <v>STOP</v>
      </c>
    </row>
    <row r="45" spans="1:8" x14ac:dyDescent="0.25">
      <c r="A45" t="s">
        <v>47</v>
      </c>
      <c r="B45" s="4">
        <f t="shared" si="19"/>
        <v>-14.101269772739935</v>
      </c>
      <c r="C45">
        <f t="shared" si="2"/>
        <v>0</v>
      </c>
      <c r="D45">
        <f t="shared" si="20"/>
        <v>-5.0031068177247562E-9</v>
      </c>
      <c r="E45">
        <f t="shared" si="21"/>
        <v>5.0031057075017316E-9</v>
      </c>
      <c r="F45">
        <f t="shared" si="22"/>
        <v>-5.0031062626132439E-3</v>
      </c>
      <c r="G45">
        <f t="shared" si="23"/>
        <v>-14.101269772739935</v>
      </c>
      <c r="H45" t="str">
        <f t="shared" si="24"/>
        <v>STOP</v>
      </c>
    </row>
    <row r="46" spans="1:8" x14ac:dyDescent="0.25">
      <c r="A46" t="s">
        <v>48</v>
      </c>
      <c r="B46" s="4">
        <f t="shared" si="19"/>
        <v>-14.101269772739935</v>
      </c>
      <c r="C46">
        <f t="shared" si="2"/>
        <v>0</v>
      </c>
      <c r="D46">
        <f t="shared" si="20"/>
        <v>-5.0031068177247562E-9</v>
      </c>
      <c r="E46">
        <f t="shared" si="21"/>
        <v>5.0031057075017316E-9</v>
      </c>
      <c r="F46">
        <f t="shared" si="22"/>
        <v>-5.0031062626132439E-3</v>
      </c>
      <c r="G46">
        <f t="shared" si="23"/>
        <v>-14.101269772739935</v>
      </c>
      <c r="H46" t="str">
        <f t="shared" si="24"/>
        <v>STOP</v>
      </c>
    </row>
    <row r="47" spans="1:8" x14ac:dyDescent="0.25">
      <c r="A47" t="s">
        <v>49</v>
      </c>
      <c r="B47" s="4">
        <f t="shared" si="19"/>
        <v>-14.101269772739935</v>
      </c>
      <c r="C47">
        <f t="shared" si="2"/>
        <v>0</v>
      </c>
      <c r="D47">
        <f t="shared" si="20"/>
        <v>-5.0031068177247562E-9</v>
      </c>
      <c r="E47">
        <f t="shared" si="21"/>
        <v>5.0031057075017316E-9</v>
      </c>
      <c r="F47">
        <f t="shared" si="22"/>
        <v>-5.0031062626132439E-3</v>
      </c>
      <c r="G47">
        <f t="shared" si="23"/>
        <v>-14.101269772739935</v>
      </c>
      <c r="H47" t="str">
        <f t="shared" si="24"/>
        <v>STOP</v>
      </c>
    </row>
    <row r="48" spans="1:8" x14ac:dyDescent="0.25">
      <c r="A48" t="s">
        <v>50</v>
      </c>
      <c r="B48" s="4">
        <f t="shared" si="19"/>
        <v>-14.101269772739935</v>
      </c>
      <c r="C48">
        <f t="shared" si="2"/>
        <v>0</v>
      </c>
      <c r="D48">
        <f t="shared" si="20"/>
        <v>-5.0031068177247562E-9</v>
      </c>
      <c r="E48">
        <f t="shared" si="21"/>
        <v>5.0031057075017316E-9</v>
      </c>
      <c r="F48">
        <f t="shared" si="22"/>
        <v>-5.0031062626132439E-3</v>
      </c>
      <c r="G48">
        <f t="shared" si="23"/>
        <v>-14.101269772739935</v>
      </c>
      <c r="H48" t="str">
        <f t="shared" si="24"/>
        <v>STOP</v>
      </c>
    </row>
    <row r="49" spans="1:8" x14ac:dyDescent="0.25">
      <c r="A49" t="s">
        <v>51</v>
      </c>
      <c r="B49" s="4">
        <f t="shared" si="19"/>
        <v>-14.101269772739935</v>
      </c>
      <c r="C49">
        <f t="shared" si="2"/>
        <v>0</v>
      </c>
      <c r="D49">
        <f t="shared" si="20"/>
        <v>-5.0031068177247562E-9</v>
      </c>
      <c r="E49">
        <f t="shared" si="21"/>
        <v>5.0031057075017316E-9</v>
      </c>
      <c r="F49">
        <f t="shared" si="22"/>
        <v>-5.0031062626132439E-3</v>
      </c>
      <c r="G49">
        <f t="shared" si="23"/>
        <v>-14.101269772739935</v>
      </c>
      <c r="H49" t="str">
        <f t="shared" si="24"/>
        <v>STOP</v>
      </c>
    </row>
    <row r="50" spans="1:8" x14ac:dyDescent="0.25">
      <c r="A50" t="s">
        <v>52</v>
      </c>
      <c r="B50" s="4">
        <f t="shared" si="19"/>
        <v>-14.101269772739935</v>
      </c>
      <c r="C50">
        <f t="shared" si="2"/>
        <v>0</v>
      </c>
      <c r="D50">
        <f t="shared" si="20"/>
        <v>-5.0031068177247562E-9</v>
      </c>
      <c r="E50">
        <f t="shared" si="21"/>
        <v>5.0031057075017316E-9</v>
      </c>
      <c r="F50">
        <f t="shared" si="22"/>
        <v>-5.0031062626132439E-3</v>
      </c>
      <c r="G50">
        <f t="shared" si="23"/>
        <v>-14.101269772739935</v>
      </c>
      <c r="H50" t="str">
        <f t="shared" si="24"/>
        <v>STOP</v>
      </c>
    </row>
    <row r="51" spans="1:8" x14ac:dyDescent="0.25">
      <c r="A51" t="s">
        <v>53</v>
      </c>
      <c r="B51" s="4">
        <f t="shared" si="19"/>
        <v>-14.101269772739935</v>
      </c>
      <c r="C51">
        <f t="shared" si="2"/>
        <v>0</v>
      </c>
      <c r="D51">
        <f t="shared" si="20"/>
        <v>-5.0031068177247562E-9</v>
      </c>
      <c r="E51">
        <f t="shared" si="21"/>
        <v>5.0031057075017316E-9</v>
      </c>
      <c r="F51">
        <f t="shared" si="22"/>
        <v>-5.0031062626132439E-3</v>
      </c>
      <c r="G51">
        <f t="shared" si="23"/>
        <v>-14.101269772739935</v>
      </c>
      <c r="H51" t="str">
        <f t="shared" si="24"/>
        <v>STOP</v>
      </c>
    </row>
    <row r="52" spans="1:8" x14ac:dyDescent="0.25">
      <c r="A52" t="s">
        <v>54</v>
      </c>
      <c r="B52" s="4">
        <f t="shared" si="19"/>
        <v>-14.101269772739935</v>
      </c>
      <c r="C52">
        <f t="shared" si="2"/>
        <v>0</v>
      </c>
      <c r="D52">
        <f t="shared" si="20"/>
        <v>-5.0031068177247562E-9</v>
      </c>
      <c r="E52">
        <f t="shared" si="21"/>
        <v>5.0031057075017316E-9</v>
      </c>
      <c r="F52">
        <f t="shared" si="22"/>
        <v>-5.0031062626132439E-3</v>
      </c>
      <c r="G52">
        <f t="shared" si="23"/>
        <v>-14.101269772739935</v>
      </c>
      <c r="H52" t="str">
        <f t="shared" si="24"/>
        <v>STOP</v>
      </c>
    </row>
    <row r="53" spans="1:8" x14ac:dyDescent="0.25">
      <c r="A53" t="s">
        <v>55</v>
      </c>
      <c r="B53" s="4">
        <f t="shared" si="19"/>
        <v>-14.101269772739935</v>
      </c>
      <c r="C53">
        <f t="shared" si="2"/>
        <v>0</v>
      </c>
      <c r="D53">
        <f t="shared" si="20"/>
        <v>-5.0031068177247562E-9</v>
      </c>
      <c r="E53">
        <f t="shared" si="21"/>
        <v>5.0031057075017316E-9</v>
      </c>
      <c r="F53">
        <f t="shared" si="22"/>
        <v>-5.0031062626132439E-3</v>
      </c>
      <c r="G53">
        <f t="shared" si="23"/>
        <v>-14.101269772739935</v>
      </c>
      <c r="H53" t="str">
        <f t="shared" si="24"/>
        <v>STOP</v>
      </c>
    </row>
    <row r="54" spans="1:8" x14ac:dyDescent="0.25">
      <c r="A54" t="s">
        <v>56</v>
      </c>
      <c r="B54" s="4">
        <f t="shared" si="19"/>
        <v>-14.101269772739935</v>
      </c>
      <c r="C54">
        <f t="shared" si="2"/>
        <v>0</v>
      </c>
      <c r="D54">
        <f t="shared" si="20"/>
        <v>-5.0031068177247562E-9</v>
      </c>
      <c r="E54">
        <f t="shared" si="21"/>
        <v>5.0031057075017316E-9</v>
      </c>
      <c r="F54">
        <f t="shared" si="22"/>
        <v>-5.0031062626132439E-3</v>
      </c>
      <c r="G54">
        <f t="shared" si="23"/>
        <v>-14.101269772739935</v>
      </c>
      <c r="H54" t="str">
        <f t="shared" si="24"/>
        <v>STOP</v>
      </c>
    </row>
    <row r="55" spans="1:8" x14ac:dyDescent="0.25">
      <c r="A55" t="s">
        <v>57</v>
      </c>
      <c r="B55" s="4">
        <f t="shared" si="19"/>
        <v>-14.101269772739935</v>
      </c>
      <c r="C55">
        <f t="shared" si="2"/>
        <v>0</v>
      </c>
      <c r="D55">
        <f t="shared" si="20"/>
        <v>-5.0031068177247562E-9</v>
      </c>
      <c r="E55">
        <f t="shared" si="21"/>
        <v>5.0031057075017316E-9</v>
      </c>
      <c r="F55">
        <f t="shared" si="22"/>
        <v>-5.0031062626132439E-3</v>
      </c>
      <c r="G55">
        <f t="shared" si="23"/>
        <v>-14.101269772739935</v>
      </c>
      <c r="H55" t="str">
        <f t="shared" si="24"/>
        <v>STOP</v>
      </c>
    </row>
    <row r="56" spans="1:8" x14ac:dyDescent="0.25">
      <c r="A56" t="s">
        <v>58</v>
      </c>
      <c r="B56" s="4">
        <f t="shared" si="19"/>
        <v>-14.101269772739935</v>
      </c>
      <c r="C56">
        <f t="shared" si="2"/>
        <v>0</v>
      </c>
      <c r="D56">
        <f t="shared" si="20"/>
        <v>-5.0031068177247562E-9</v>
      </c>
      <c r="E56">
        <f t="shared" si="21"/>
        <v>5.0031057075017316E-9</v>
      </c>
      <c r="F56">
        <f t="shared" si="22"/>
        <v>-5.0031062626132439E-3</v>
      </c>
      <c r="G56">
        <f t="shared" si="23"/>
        <v>-14.101269772739935</v>
      </c>
      <c r="H56" t="str">
        <f t="shared" si="24"/>
        <v>STOP</v>
      </c>
    </row>
    <row r="57" spans="1:8" x14ac:dyDescent="0.25">
      <c r="A57" t="s">
        <v>59</v>
      </c>
      <c r="B57" s="4">
        <f t="shared" si="19"/>
        <v>-14.101269772739935</v>
      </c>
      <c r="C57">
        <f t="shared" si="2"/>
        <v>0</v>
      </c>
      <c r="D57">
        <f t="shared" si="20"/>
        <v>-5.0031068177247562E-9</v>
      </c>
      <c r="E57">
        <f t="shared" si="21"/>
        <v>5.0031057075017316E-9</v>
      </c>
      <c r="F57">
        <f t="shared" si="22"/>
        <v>-5.0031062626132439E-3</v>
      </c>
      <c r="G57">
        <f t="shared" si="23"/>
        <v>-14.101269772739935</v>
      </c>
      <c r="H57" t="str">
        <f t="shared" si="24"/>
        <v>STOP</v>
      </c>
    </row>
    <row r="58" spans="1:8" x14ac:dyDescent="0.25">
      <c r="A58" t="s">
        <v>60</v>
      </c>
      <c r="B58" s="4">
        <f t="shared" si="19"/>
        <v>-14.101269772739935</v>
      </c>
      <c r="C58">
        <f t="shared" si="2"/>
        <v>0</v>
      </c>
      <c r="D58">
        <f t="shared" si="20"/>
        <v>-5.0031068177247562E-9</v>
      </c>
      <c r="E58">
        <f t="shared" si="21"/>
        <v>5.0031057075017316E-9</v>
      </c>
      <c r="F58">
        <f t="shared" si="22"/>
        <v>-5.0031062626132439E-3</v>
      </c>
      <c r="G58">
        <f t="shared" si="23"/>
        <v>-14.101269772739935</v>
      </c>
      <c r="H58" t="str">
        <f t="shared" si="24"/>
        <v>STOP</v>
      </c>
    </row>
    <row r="59" spans="1:8" x14ac:dyDescent="0.25">
      <c r="A59" t="s">
        <v>61</v>
      </c>
      <c r="B59" s="4">
        <f t="shared" si="19"/>
        <v>-14.101269772739935</v>
      </c>
      <c r="C59">
        <f t="shared" si="2"/>
        <v>0</v>
      </c>
      <c r="D59">
        <f t="shared" si="20"/>
        <v>-5.0031068177247562E-9</v>
      </c>
      <c r="E59">
        <f t="shared" si="21"/>
        <v>5.0031057075017316E-9</v>
      </c>
      <c r="F59">
        <f t="shared" si="22"/>
        <v>-5.0031062626132439E-3</v>
      </c>
      <c r="G59">
        <f t="shared" si="23"/>
        <v>-14.101269772739935</v>
      </c>
      <c r="H59" t="str">
        <f t="shared" si="24"/>
        <v>STOP</v>
      </c>
    </row>
    <row r="60" spans="1:8" x14ac:dyDescent="0.25">
      <c r="A60" t="s">
        <v>62</v>
      </c>
      <c r="B60" s="4">
        <f t="shared" si="19"/>
        <v>-14.101269772739935</v>
      </c>
      <c r="C60">
        <f t="shared" si="2"/>
        <v>0</v>
      </c>
      <c r="D60">
        <f t="shared" si="20"/>
        <v>-5.0031068177247562E-9</v>
      </c>
      <c r="E60">
        <f t="shared" si="21"/>
        <v>5.0031057075017316E-9</v>
      </c>
      <c r="F60">
        <f t="shared" si="22"/>
        <v>-5.0031062626132439E-3</v>
      </c>
      <c r="G60">
        <f t="shared" si="23"/>
        <v>-14.101269772739935</v>
      </c>
      <c r="H60" t="str">
        <f t="shared" si="24"/>
        <v>STOP</v>
      </c>
    </row>
    <row r="61" spans="1:8" x14ac:dyDescent="0.25">
      <c r="A61" t="s">
        <v>63</v>
      </c>
      <c r="B61" s="4">
        <f t="shared" si="19"/>
        <v>-14.101269772739935</v>
      </c>
      <c r="C61">
        <f t="shared" si="2"/>
        <v>0</v>
      </c>
      <c r="D61">
        <f t="shared" si="20"/>
        <v>-5.0031068177247562E-9</v>
      </c>
      <c r="E61">
        <f t="shared" si="21"/>
        <v>5.0031057075017316E-9</v>
      </c>
      <c r="F61">
        <f t="shared" si="22"/>
        <v>-5.0031062626132439E-3</v>
      </c>
      <c r="G61">
        <f t="shared" si="23"/>
        <v>-14.101269772739935</v>
      </c>
      <c r="H61" t="str">
        <f t="shared" si="24"/>
        <v>STOP</v>
      </c>
    </row>
    <row r="62" spans="1:8" x14ac:dyDescent="0.25">
      <c r="A62" t="s">
        <v>64</v>
      </c>
      <c r="B62" s="4">
        <f t="shared" si="19"/>
        <v>-14.101269772739935</v>
      </c>
      <c r="C62">
        <f t="shared" si="2"/>
        <v>0</v>
      </c>
      <c r="D62">
        <f t="shared" si="20"/>
        <v>-5.0031068177247562E-9</v>
      </c>
      <c r="E62">
        <f t="shared" si="21"/>
        <v>5.0031057075017316E-9</v>
      </c>
      <c r="F62">
        <f t="shared" si="22"/>
        <v>-5.0031062626132439E-3</v>
      </c>
      <c r="G62">
        <f t="shared" si="23"/>
        <v>-14.101269772739935</v>
      </c>
      <c r="H62" t="str">
        <f t="shared" si="24"/>
        <v>STOP</v>
      </c>
    </row>
    <row r="63" spans="1:8" x14ac:dyDescent="0.25">
      <c r="A63" t="s">
        <v>65</v>
      </c>
      <c r="B63" s="4">
        <f t="shared" si="19"/>
        <v>-14.101269772739935</v>
      </c>
      <c r="C63">
        <f t="shared" si="2"/>
        <v>0</v>
      </c>
      <c r="D63">
        <f t="shared" si="20"/>
        <v>-5.0031068177247562E-9</v>
      </c>
      <c r="E63">
        <f t="shared" si="21"/>
        <v>5.0031057075017316E-9</v>
      </c>
      <c r="F63">
        <f t="shared" si="22"/>
        <v>-5.0031062626132439E-3</v>
      </c>
      <c r="G63">
        <f t="shared" si="23"/>
        <v>-14.101269772739935</v>
      </c>
      <c r="H63" t="str">
        <f t="shared" si="24"/>
        <v>STOP</v>
      </c>
    </row>
    <row r="64" spans="1:8" x14ac:dyDescent="0.25">
      <c r="A64" t="s">
        <v>66</v>
      </c>
      <c r="B64" s="4">
        <f t="shared" si="19"/>
        <v>-14.101269772739935</v>
      </c>
      <c r="C64">
        <f t="shared" si="2"/>
        <v>0</v>
      </c>
      <c r="D64">
        <f t="shared" si="20"/>
        <v>-5.0031068177247562E-9</v>
      </c>
      <c r="E64">
        <f t="shared" si="21"/>
        <v>5.0031057075017316E-9</v>
      </c>
      <c r="F64">
        <f t="shared" si="22"/>
        <v>-5.0031062626132439E-3</v>
      </c>
      <c r="G64">
        <f t="shared" si="23"/>
        <v>-14.101269772739935</v>
      </c>
      <c r="H64" t="str">
        <f t="shared" si="24"/>
        <v>STOP</v>
      </c>
    </row>
    <row r="65" spans="1:8" x14ac:dyDescent="0.25">
      <c r="A65" t="s">
        <v>67</v>
      </c>
      <c r="B65" s="4">
        <f t="shared" si="19"/>
        <v>-14.101269772739935</v>
      </c>
      <c r="C65">
        <f t="shared" si="2"/>
        <v>0</v>
      </c>
      <c r="D65">
        <f t="shared" si="20"/>
        <v>-5.0031068177247562E-9</v>
      </c>
      <c r="E65">
        <f t="shared" si="21"/>
        <v>5.0031057075017316E-9</v>
      </c>
      <c r="F65">
        <f t="shared" si="22"/>
        <v>-5.0031062626132439E-3</v>
      </c>
      <c r="G65">
        <f t="shared" si="23"/>
        <v>-14.101269772739935</v>
      </c>
      <c r="H65" t="str">
        <f t="shared" si="24"/>
        <v>STOP</v>
      </c>
    </row>
    <row r="66" spans="1:8" x14ac:dyDescent="0.25">
      <c r="A66" t="s">
        <v>68</v>
      </c>
      <c r="B66" s="4">
        <f t="shared" si="19"/>
        <v>-14.101269772739935</v>
      </c>
      <c r="C66">
        <f t="shared" si="2"/>
        <v>0</v>
      </c>
      <c r="D66">
        <f t="shared" si="20"/>
        <v>-5.0031068177247562E-9</v>
      </c>
      <c r="E66">
        <f t="shared" si="21"/>
        <v>5.0031057075017316E-9</v>
      </c>
      <c r="F66">
        <f t="shared" si="22"/>
        <v>-5.0031062626132439E-3</v>
      </c>
      <c r="G66">
        <f t="shared" si="23"/>
        <v>-14.101269772739935</v>
      </c>
      <c r="H66" t="str">
        <f t="shared" si="24"/>
        <v>STOP</v>
      </c>
    </row>
    <row r="67" spans="1:8" x14ac:dyDescent="0.25">
      <c r="A67" t="s">
        <v>69</v>
      </c>
      <c r="B67" s="4">
        <f t="shared" si="19"/>
        <v>-14.101269772739935</v>
      </c>
      <c r="C67">
        <f t="shared" si="2"/>
        <v>0</v>
      </c>
      <c r="D67">
        <f t="shared" si="20"/>
        <v>-5.0031068177247562E-9</v>
      </c>
      <c r="E67">
        <f t="shared" si="21"/>
        <v>5.0031057075017316E-9</v>
      </c>
      <c r="F67">
        <f t="shared" si="22"/>
        <v>-5.0031062626132439E-3</v>
      </c>
      <c r="G67">
        <f t="shared" si="23"/>
        <v>-14.101269772739935</v>
      </c>
      <c r="H67" t="str">
        <f t="shared" si="24"/>
        <v>STOP</v>
      </c>
    </row>
    <row r="68" spans="1:8" x14ac:dyDescent="0.25">
      <c r="A68" t="s">
        <v>70</v>
      </c>
      <c r="B68" s="4">
        <f t="shared" si="19"/>
        <v>-14.101269772739935</v>
      </c>
      <c r="C68">
        <f t="shared" si="2"/>
        <v>0</v>
      </c>
      <c r="D68">
        <f t="shared" si="20"/>
        <v>-5.0031068177247562E-9</v>
      </c>
      <c r="E68">
        <f t="shared" si="21"/>
        <v>5.0031057075017316E-9</v>
      </c>
      <c r="F68">
        <f t="shared" si="22"/>
        <v>-5.0031062626132439E-3</v>
      </c>
      <c r="G68">
        <f t="shared" si="23"/>
        <v>-14.101269772739935</v>
      </c>
      <c r="H68" t="str">
        <f t="shared" si="24"/>
        <v>STOP</v>
      </c>
    </row>
    <row r="69" spans="1:8" x14ac:dyDescent="0.25">
      <c r="A69" t="s">
        <v>71</v>
      </c>
      <c r="B69" s="4">
        <f t="shared" si="19"/>
        <v>-14.101269772739935</v>
      </c>
      <c r="C69">
        <f t="shared" si="2"/>
        <v>0</v>
      </c>
      <c r="D69">
        <f t="shared" si="20"/>
        <v>-5.0031068177247562E-9</v>
      </c>
      <c r="E69">
        <f t="shared" si="21"/>
        <v>5.0031057075017316E-9</v>
      </c>
      <c r="F69">
        <f t="shared" si="22"/>
        <v>-5.0031062626132439E-3</v>
      </c>
      <c r="G69">
        <f t="shared" si="23"/>
        <v>-14.101269772739935</v>
      </c>
      <c r="H69" t="str">
        <f t="shared" si="24"/>
        <v>STOP</v>
      </c>
    </row>
    <row r="70" spans="1:8" x14ac:dyDescent="0.25">
      <c r="A70" t="s">
        <v>72</v>
      </c>
      <c r="B70" s="4">
        <f t="shared" si="19"/>
        <v>-14.101269772739935</v>
      </c>
      <c r="C70">
        <f t="shared" si="2"/>
        <v>0</v>
      </c>
      <c r="D70">
        <f t="shared" si="20"/>
        <v>-5.0031068177247562E-9</v>
      </c>
      <c r="E70">
        <f t="shared" si="21"/>
        <v>5.0031057075017316E-9</v>
      </c>
      <c r="F70">
        <f t="shared" si="22"/>
        <v>-5.0031062626132439E-3</v>
      </c>
      <c r="G70">
        <f t="shared" si="23"/>
        <v>-14.101269772739935</v>
      </c>
      <c r="H70" t="str">
        <f t="shared" si="24"/>
        <v>STOP</v>
      </c>
    </row>
    <row r="71" spans="1:8" x14ac:dyDescent="0.25">
      <c r="A71" t="s">
        <v>75</v>
      </c>
      <c r="B71" s="4">
        <f t="shared" si="19"/>
        <v>-14.101269772739935</v>
      </c>
      <c r="C71">
        <f t="shared" ref="C71:C134" si="25">EXP(B71)-ATAN(B71)-1.5</f>
        <v>0</v>
      </c>
      <c r="D71">
        <f t="shared" si="20"/>
        <v>-5.0031068177247562E-9</v>
      </c>
      <c r="E71">
        <f t="shared" si="21"/>
        <v>5.0031057075017316E-9</v>
      </c>
      <c r="F71">
        <f t="shared" si="22"/>
        <v>-5.0031062626132439E-3</v>
      </c>
      <c r="G71">
        <f t="shared" si="23"/>
        <v>-14.101269772739935</v>
      </c>
      <c r="H71" t="str">
        <f t="shared" si="24"/>
        <v>STOP</v>
      </c>
    </row>
    <row r="72" spans="1:8" x14ac:dyDescent="0.25">
      <c r="A72" t="s">
        <v>76</v>
      </c>
      <c r="B72" s="4">
        <f t="shared" si="19"/>
        <v>-14.101269772739935</v>
      </c>
      <c r="C72">
        <f t="shared" si="25"/>
        <v>0</v>
      </c>
      <c r="D72">
        <f t="shared" si="20"/>
        <v>-5.0031068177247562E-9</v>
      </c>
      <c r="E72">
        <f t="shared" si="21"/>
        <v>5.0031057075017316E-9</v>
      </c>
      <c r="F72">
        <f t="shared" si="22"/>
        <v>-5.0031062626132439E-3</v>
      </c>
      <c r="G72">
        <f t="shared" si="23"/>
        <v>-14.101269772739935</v>
      </c>
      <c r="H72" t="str">
        <f t="shared" si="24"/>
        <v>STOP</v>
      </c>
    </row>
    <row r="73" spans="1:8" x14ac:dyDescent="0.25">
      <c r="A73" t="s">
        <v>77</v>
      </c>
      <c r="B73" s="4">
        <f t="shared" si="19"/>
        <v>-14.101269772739935</v>
      </c>
      <c r="C73">
        <f t="shared" si="25"/>
        <v>0</v>
      </c>
      <c r="D73">
        <f t="shared" si="20"/>
        <v>-5.0031068177247562E-9</v>
      </c>
      <c r="E73">
        <f t="shared" si="21"/>
        <v>5.0031057075017316E-9</v>
      </c>
      <c r="F73">
        <f t="shared" si="22"/>
        <v>-5.0031062626132439E-3</v>
      </c>
      <c r="G73">
        <f t="shared" si="23"/>
        <v>-14.101269772739935</v>
      </c>
      <c r="H73" t="str">
        <f t="shared" si="24"/>
        <v>STOP</v>
      </c>
    </row>
    <row r="74" spans="1:8" x14ac:dyDescent="0.25">
      <c r="A74" t="s">
        <v>78</v>
      </c>
      <c r="B74" s="4">
        <f t="shared" si="19"/>
        <v>-14.101269772739935</v>
      </c>
      <c r="C74">
        <f t="shared" si="25"/>
        <v>0</v>
      </c>
      <c r="D74">
        <f t="shared" si="20"/>
        <v>-5.0031068177247562E-9</v>
      </c>
      <c r="E74">
        <f t="shared" si="21"/>
        <v>5.0031057075017316E-9</v>
      </c>
      <c r="F74">
        <f t="shared" si="22"/>
        <v>-5.0031062626132439E-3</v>
      </c>
      <c r="G74">
        <f t="shared" si="23"/>
        <v>-14.101269772739935</v>
      </c>
      <c r="H74" t="str">
        <f t="shared" si="24"/>
        <v>STOP</v>
      </c>
    </row>
    <row r="75" spans="1:8" x14ac:dyDescent="0.25">
      <c r="A75" t="s">
        <v>79</v>
      </c>
      <c r="B75" s="4">
        <f t="shared" si="19"/>
        <v>-14.101269772739935</v>
      </c>
      <c r="C75">
        <f t="shared" si="25"/>
        <v>0</v>
      </c>
      <c r="D75">
        <f t="shared" si="20"/>
        <v>-5.0031068177247562E-9</v>
      </c>
      <c r="E75">
        <f t="shared" si="21"/>
        <v>5.0031057075017316E-9</v>
      </c>
      <c r="F75">
        <f t="shared" si="22"/>
        <v>-5.0031062626132439E-3</v>
      </c>
      <c r="G75">
        <f t="shared" si="23"/>
        <v>-14.101269772739935</v>
      </c>
      <c r="H75" t="str">
        <f t="shared" si="24"/>
        <v>STOP</v>
      </c>
    </row>
    <row r="76" spans="1:8" x14ac:dyDescent="0.25">
      <c r="A76" t="s">
        <v>80</v>
      </c>
      <c r="B76" s="4">
        <f t="shared" si="19"/>
        <v>-14.101269772739935</v>
      </c>
      <c r="C76">
        <f t="shared" si="25"/>
        <v>0</v>
      </c>
      <c r="D76">
        <f t="shared" si="20"/>
        <v>-5.0031068177247562E-9</v>
      </c>
      <c r="E76">
        <f t="shared" si="21"/>
        <v>5.0031057075017316E-9</v>
      </c>
      <c r="F76">
        <f t="shared" si="22"/>
        <v>-5.0031062626132439E-3</v>
      </c>
      <c r="G76">
        <f t="shared" si="23"/>
        <v>-14.101269772739935</v>
      </c>
      <c r="H76" t="str">
        <f t="shared" si="24"/>
        <v>STOP</v>
      </c>
    </row>
    <row r="77" spans="1:8" x14ac:dyDescent="0.25">
      <c r="A77" t="s">
        <v>81</v>
      </c>
      <c r="B77" s="4">
        <f t="shared" si="19"/>
        <v>-14.101269772739935</v>
      </c>
      <c r="C77">
        <f t="shared" si="25"/>
        <v>0</v>
      </c>
      <c r="D77">
        <f t="shared" si="20"/>
        <v>-5.0031068177247562E-9</v>
      </c>
      <c r="E77">
        <f t="shared" si="21"/>
        <v>5.0031057075017316E-9</v>
      </c>
      <c r="F77">
        <f t="shared" si="22"/>
        <v>-5.0031062626132439E-3</v>
      </c>
      <c r="G77">
        <f t="shared" si="23"/>
        <v>-14.101269772739935</v>
      </c>
      <c r="H77" t="str">
        <f t="shared" si="24"/>
        <v>STOP</v>
      </c>
    </row>
    <row r="78" spans="1:8" x14ac:dyDescent="0.25">
      <c r="A78" t="s">
        <v>82</v>
      </c>
      <c r="B78" s="4">
        <f t="shared" si="19"/>
        <v>-14.101269772739935</v>
      </c>
      <c r="C78">
        <f t="shared" si="25"/>
        <v>0</v>
      </c>
      <c r="D78">
        <f t="shared" si="20"/>
        <v>-5.0031068177247562E-9</v>
      </c>
      <c r="E78">
        <f t="shared" si="21"/>
        <v>5.0031057075017316E-9</v>
      </c>
      <c r="F78">
        <f t="shared" si="22"/>
        <v>-5.0031062626132439E-3</v>
      </c>
      <c r="G78">
        <f t="shared" si="23"/>
        <v>-14.101269772739935</v>
      </c>
      <c r="H78" t="str">
        <f t="shared" si="24"/>
        <v>STOP</v>
      </c>
    </row>
    <row r="79" spans="1:8" x14ac:dyDescent="0.25">
      <c r="A79" t="s">
        <v>83</v>
      </c>
      <c r="B79" s="4">
        <f t="shared" si="19"/>
        <v>-14.101269772739935</v>
      </c>
      <c r="C79">
        <f t="shared" si="25"/>
        <v>0</v>
      </c>
      <c r="D79">
        <f t="shared" si="20"/>
        <v>-5.0031068177247562E-9</v>
      </c>
      <c r="E79">
        <f t="shared" si="21"/>
        <v>5.0031057075017316E-9</v>
      </c>
      <c r="F79">
        <f t="shared" si="22"/>
        <v>-5.0031062626132439E-3</v>
      </c>
      <c r="G79">
        <f t="shared" si="23"/>
        <v>-14.101269772739935</v>
      </c>
      <c r="H79" t="str">
        <f t="shared" si="24"/>
        <v>STOP</v>
      </c>
    </row>
    <row r="80" spans="1:8" x14ac:dyDescent="0.25">
      <c r="A80" t="s">
        <v>84</v>
      </c>
      <c r="B80" s="4">
        <f t="shared" si="19"/>
        <v>-14.101269772739935</v>
      </c>
      <c r="C80">
        <f t="shared" si="25"/>
        <v>0</v>
      </c>
      <c r="D80">
        <f t="shared" si="20"/>
        <v>-5.0031068177247562E-9</v>
      </c>
      <c r="E80">
        <f t="shared" si="21"/>
        <v>5.0031057075017316E-9</v>
      </c>
      <c r="F80">
        <f t="shared" si="22"/>
        <v>-5.0031062626132439E-3</v>
      </c>
      <c r="G80">
        <f t="shared" si="23"/>
        <v>-14.101269772739935</v>
      </c>
      <c r="H80" t="str">
        <f t="shared" si="24"/>
        <v>STOP</v>
      </c>
    </row>
    <row r="81" spans="1:8" x14ac:dyDescent="0.25">
      <c r="A81" t="s">
        <v>85</v>
      </c>
      <c r="B81" s="4">
        <f t="shared" si="19"/>
        <v>-14.101269772739935</v>
      </c>
      <c r="C81">
        <f t="shared" si="25"/>
        <v>0</v>
      </c>
      <c r="D81">
        <f t="shared" si="20"/>
        <v>-5.0031068177247562E-9</v>
      </c>
      <c r="E81">
        <f t="shared" si="21"/>
        <v>5.0031057075017316E-9</v>
      </c>
      <c r="F81">
        <f t="shared" si="22"/>
        <v>-5.0031062626132439E-3</v>
      </c>
      <c r="G81">
        <f t="shared" si="23"/>
        <v>-14.101269772739935</v>
      </c>
      <c r="H81" t="str">
        <f t="shared" si="24"/>
        <v>STOP</v>
      </c>
    </row>
    <row r="82" spans="1:8" x14ac:dyDescent="0.25">
      <c r="A82" t="s">
        <v>86</v>
      </c>
      <c r="B82" s="4">
        <f t="shared" si="19"/>
        <v>-14.101269772739935</v>
      </c>
      <c r="C82">
        <f t="shared" si="25"/>
        <v>0</v>
      </c>
      <c r="D82">
        <f t="shared" si="20"/>
        <v>-5.0031068177247562E-9</v>
      </c>
      <c r="E82">
        <f t="shared" si="21"/>
        <v>5.0031057075017316E-9</v>
      </c>
      <c r="F82">
        <f t="shared" si="22"/>
        <v>-5.0031062626132439E-3</v>
      </c>
      <c r="G82">
        <f t="shared" si="23"/>
        <v>-14.101269772739935</v>
      </c>
      <c r="H82" t="str">
        <f t="shared" si="24"/>
        <v>STOP</v>
      </c>
    </row>
    <row r="83" spans="1:8" x14ac:dyDescent="0.25">
      <c r="A83" t="s">
        <v>87</v>
      </c>
      <c r="B83" s="4">
        <f t="shared" si="19"/>
        <v>-14.101269772739935</v>
      </c>
      <c r="C83">
        <f t="shared" si="25"/>
        <v>0</v>
      </c>
      <c r="D83">
        <f t="shared" si="20"/>
        <v>-5.0031068177247562E-9</v>
      </c>
      <c r="E83">
        <f t="shared" si="21"/>
        <v>5.0031057075017316E-9</v>
      </c>
      <c r="F83">
        <f t="shared" si="22"/>
        <v>-5.0031062626132439E-3</v>
      </c>
      <c r="G83">
        <f t="shared" si="23"/>
        <v>-14.101269772739935</v>
      </c>
      <c r="H83" t="str">
        <f t="shared" si="24"/>
        <v>STOP</v>
      </c>
    </row>
    <row r="84" spans="1:8" x14ac:dyDescent="0.25">
      <c r="A84" t="s">
        <v>88</v>
      </c>
      <c r="B84" s="4">
        <f t="shared" si="19"/>
        <v>-14.101269772739935</v>
      </c>
      <c r="C84">
        <f t="shared" si="25"/>
        <v>0</v>
      </c>
      <c r="D84">
        <f t="shared" si="20"/>
        <v>-5.0031068177247562E-9</v>
      </c>
      <c r="E84">
        <f t="shared" si="21"/>
        <v>5.0031057075017316E-9</v>
      </c>
      <c r="F84">
        <f t="shared" si="22"/>
        <v>-5.0031062626132439E-3</v>
      </c>
      <c r="G84">
        <f t="shared" si="23"/>
        <v>-14.101269772739935</v>
      </c>
      <c r="H84" t="str">
        <f t="shared" si="24"/>
        <v>STOP</v>
      </c>
    </row>
    <row r="85" spans="1:8" x14ac:dyDescent="0.25">
      <c r="A85" t="s">
        <v>89</v>
      </c>
      <c r="B85" s="4">
        <f t="shared" si="19"/>
        <v>-14.101269772739935</v>
      </c>
      <c r="C85">
        <f t="shared" si="25"/>
        <v>0</v>
      </c>
      <c r="D85">
        <f t="shared" si="20"/>
        <v>-5.0031068177247562E-9</v>
      </c>
      <c r="E85">
        <f t="shared" si="21"/>
        <v>5.0031057075017316E-9</v>
      </c>
      <c r="F85">
        <f t="shared" si="22"/>
        <v>-5.0031062626132439E-3</v>
      </c>
      <c r="G85">
        <f t="shared" si="23"/>
        <v>-14.101269772739935</v>
      </c>
      <c r="H85" t="str">
        <f t="shared" si="24"/>
        <v>STOP</v>
      </c>
    </row>
    <row r="86" spans="1:8" x14ac:dyDescent="0.25">
      <c r="A86" t="s">
        <v>90</v>
      </c>
      <c r="B86" s="4">
        <f t="shared" si="19"/>
        <v>-14.101269772739935</v>
      </c>
      <c r="C86">
        <f t="shared" si="25"/>
        <v>0</v>
      </c>
      <c r="D86">
        <f t="shared" si="20"/>
        <v>-5.0031068177247562E-9</v>
      </c>
      <c r="E86">
        <f t="shared" si="21"/>
        <v>5.0031057075017316E-9</v>
      </c>
      <c r="F86">
        <f t="shared" si="22"/>
        <v>-5.0031062626132439E-3</v>
      </c>
      <c r="G86">
        <f t="shared" si="23"/>
        <v>-14.101269772739935</v>
      </c>
      <c r="H86" t="str">
        <f t="shared" si="24"/>
        <v>STOP</v>
      </c>
    </row>
    <row r="87" spans="1:8" x14ac:dyDescent="0.25">
      <c r="A87" t="s">
        <v>91</v>
      </c>
      <c r="B87" s="4">
        <f t="shared" si="19"/>
        <v>-14.101269772739935</v>
      </c>
      <c r="C87">
        <f t="shared" si="25"/>
        <v>0</v>
      </c>
      <c r="D87">
        <f t="shared" si="20"/>
        <v>-5.0031068177247562E-9</v>
      </c>
      <c r="E87">
        <f t="shared" si="21"/>
        <v>5.0031057075017316E-9</v>
      </c>
      <c r="F87">
        <f t="shared" si="22"/>
        <v>-5.0031062626132439E-3</v>
      </c>
      <c r="G87">
        <f t="shared" si="23"/>
        <v>-14.101269772739935</v>
      </c>
      <c r="H87" t="str">
        <f t="shared" si="24"/>
        <v>STOP</v>
      </c>
    </row>
    <row r="88" spans="1:8" x14ac:dyDescent="0.25">
      <c r="A88" t="s">
        <v>92</v>
      </c>
      <c r="B88" s="4">
        <f t="shared" si="19"/>
        <v>-14.101269772739935</v>
      </c>
      <c r="C88">
        <f t="shared" si="25"/>
        <v>0</v>
      </c>
      <c r="D88">
        <f t="shared" si="20"/>
        <v>-5.0031068177247562E-9</v>
      </c>
      <c r="E88">
        <f t="shared" si="21"/>
        <v>5.0031057075017316E-9</v>
      </c>
      <c r="F88">
        <f t="shared" si="22"/>
        <v>-5.0031062626132439E-3</v>
      </c>
      <c r="G88">
        <f t="shared" si="23"/>
        <v>-14.101269772739935</v>
      </c>
      <c r="H88" t="str">
        <f t="shared" si="24"/>
        <v>STOP</v>
      </c>
    </row>
    <row r="89" spans="1:8" x14ac:dyDescent="0.25">
      <c r="A89" t="s">
        <v>93</v>
      </c>
      <c r="B89" s="4">
        <f t="shared" si="19"/>
        <v>-14.101269772739935</v>
      </c>
      <c r="C89">
        <f t="shared" si="25"/>
        <v>0</v>
      </c>
      <c r="D89">
        <f t="shared" si="20"/>
        <v>-5.0031068177247562E-9</v>
      </c>
      <c r="E89">
        <f t="shared" si="21"/>
        <v>5.0031057075017316E-9</v>
      </c>
      <c r="F89">
        <f t="shared" si="22"/>
        <v>-5.0031062626132439E-3</v>
      </c>
      <c r="G89">
        <f t="shared" si="23"/>
        <v>-14.101269772739935</v>
      </c>
      <c r="H89" t="str">
        <f t="shared" si="24"/>
        <v>STOP</v>
      </c>
    </row>
    <row r="90" spans="1:8" x14ac:dyDescent="0.25">
      <c r="A90" t="s">
        <v>94</v>
      </c>
      <c r="B90" s="4">
        <f t="shared" si="19"/>
        <v>-14.101269772739935</v>
      </c>
      <c r="C90">
        <f t="shared" si="25"/>
        <v>0</v>
      </c>
      <c r="D90">
        <f t="shared" si="20"/>
        <v>-5.0031068177247562E-9</v>
      </c>
      <c r="E90">
        <f t="shared" si="21"/>
        <v>5.0031057075017316E-9</v>
      </c>
      <c r="F90">
        <f t="shared" si="22"/>
        <v>-5.0031062626132439E-3</v>
      </c>
      <c r="G90">
        <f t="shared" si="23"/>
        <v>-14.101269772739935</v>
      </c>
      <c r="H90" t="str">
        <f t="shared" si="24"/>
        <v>STOP</v>
      </c>
    </row>
    <row r="91" spans="1:8" x14ac:dyDescent="0.25">
      <c r="A91" t="s">
        <v>95</v>
      </c>
      <c r="B91" s="4">
        <f t="shared" si="19"/>
        <v>-14.101269772739935</v>
      </c>
      <c r="C91">
        <f t="shared" si="25"/>
        <v>0</v>
      </c>
      <c r="D91">
        <f t="shared" si="20"/>
        <v>-5.0031068177247562E-9</v>
      </c>
      <c r="E91">
        <f t="shared" si="21"/>
        <v>5.0031057075017316E-9</v>
      </c>
      <c r="F91">
        <f t="shared" si="22"/>
        <v>-5.0031062626132439E-3</v>
      </c>
      <c r="G91">
        <f t="shared" si="23"/>
        <v>-14.101269772739935</v>
      </c>
      <c r="H91" t="str">
        <f t="shared" si="24"/>
        <v>STOP</v>
      </c>
    </row>
    <row r="92" spans="1:8" x14ac:dyDescent="0.25">
      <c r="A92" t="s">
        <v>96</v>
      </c>
      <c r="B92" s="4">
        <f t="shared" si="19"/>
        <v>-14.101269772739935</v>
      </c>
      <c r="C92">
        <f t="shared" si="25"/>
        <v>0</v>
      </c>
      <c r="D92">
        <f t="shared" si="20"/>
        <v>-5.0031068177247562E-9</v>
      </c>
      <c r="E92">
        <f t="shared" si="21"/>
        <v>5.0031057075017316E-9</v>
      </c>
      <c r="F92">
        <f t="shared" si="22"/>
        <v>-5.0031062626132439E-3</v>
      </c>
      <c r="G92">
        <f t="shared" si="23"/>
        <v>-14.101269772739935</v>
      </c>
      <c r="H92" t="str">
        <f t="shared" si="24"/>
        <v>STOP</v>
      </c>
    </row>
    <row r="93" spans="1:8" x14ac:dyDescent="0.25">
      <c r="A93" t="s">
        <v>97</v>
      </c>
      <c r="B93" s="4">
        <f t="shared" si="19"/>
        <v>-14.101269772739935</v>
      </c>
      <c r="C93">
        <f t="shared" si="25"/>
        <v>0</v>
      </c>
      <c r="D93">
        <f t="shared" si="20"/>
        <v>-5.0031068177247562E-9</v>
      </c>
      <c r="E93">
        <f t="shared" si="21"/>
        <v>5.0031057075017316E-9</v>
      </c>
      <c r="F93">
        <f t="shared" si="22"/>
        <v>-5.0031062626132439E-3</v>
      </c>
      <c r="G93">
        <f t="shared" si="23"/>
        <v>-14.101269772739935</v>
      </c>
      <c r="H93" t="str">
        <f t="shared" si="24"/>
        <v>STOP</v>
      </c>
    </row>
    <row r="94" spans="1:8" x14ac:dyDescent="0.25">
      <c r="A94" t="s">
        <v>98</v>
      </c>
      <c r="B94" s="4">
        <f t="shared" si="19"/>
        <v>-14.101269772739935</v>
      </c>
      <c r="C94">
        <f t="shared" si="25"/>
        <v>0</v>
      </c>
      <c r="D94">
        <f t="shared" si="20"/>
        <v>-5.0031068177247562E-9</v>
      </c>
      <c r="E94">
        <f t="shared" si="21"/>
        <v>5.0031057075017316E-9</v>
      </c>
      <c r="F94">
        <f t="shared" si="22"/>
        <v>-5.0031062626132439E-3</v>
      </c>
      <c r="G94">
        <f t="shared" si="23"/>
        <v>-14.101269772739935</v>
      </c>
      <c r="H94" t="str">
        <f t="shared" si="24"/>
        <v>STOP</v>
      </c>
    </row>
    <row r="95" spans="1:8" x14ac:dyDescent="0.25">
      <c r="A95" t="s">
        <v>99</v>
      </c>
      <c r="B95" s="4">
        <f t="shared" si="19"/>
        <v>-14.101269772739935</v>
      </c>
      <c r="C95">
        <f t="shared" si="25"/>
        <v>0</v>
      </c>
      <c r="D95">
        <f t="shared" si="20"/>
        <v>-5.0031068177247562E-9</v>
      </c>
      <c r="E95">
        <f t="shared" si="21"/>
        <v>5.0031057075017316E-9</v>
      </c>
      <c r="F95">
        <f t="shared" si="22"/>
        <v>-5.0031062626132439E-3</v>
      </c>
      <c r="G95">
        <f t="shared" si="23"/>
        <v>-14.101269772739935</v>
      </c>
      <c r="H95" t="str">
        <f t="shared" si="24"/>
        <v>STOP</v>
      </c>
    </row>
    <row r="96" spans="1:8" x14ac:dyDescent="0.25">
      <c r="A96" t="s">
        <v>100</v>
      </c>
      <c r="B96" s="4">
        <f t="shared" si="19"/>
        <v>-14.101269772739935</v>
      </c>
      <c r="C96">
        <f t="shared" si="25"/>
        <v>0</v>
      </c>
      <c r="D96">
        <f t="shared" si="20"/>
        <v>-5.0031068177247562E-9</v>
      </c>
      <c r="E96">
        <f t="shared" si="21"/>
        <v>5.0031057075017316E-9</v>
      </c>
      <c r="F96">
        <f t="shared" si="22"/>
        <v>-5.0031062626132439E-3</v>
      </c>
      <c r="G96">
        <f t="shared" si="23"/>
        <v>-14.101269772739935</v>
      </c>
      <c r="H96" t="str">
        <f t="shared" si="24"/>
        <v>STOP</v>
      </c>
    </row>
    <row r="97" spans="1:8" x14ac:dyDescent="0.25">
      <c r="A97" t="s">
        <v>101</v>
      </c>
      <c r="B97" s="4">
        <f t="shared" si="19"/>
        <v>-14.101269772739935</v>
      </c>
      <c r="C97">
        <f t="shared" si="25"/>
        <v>0</v>
      </c>
      <c r="D97">
        <f t="shared" si="20"/>
        <v>-5.0031068177247562E-9</v>
      </c>
      <c r="E97">
        <f t="shared" si="21"/>
        <v>5.0031057075017316E-9</v>
      </c>
      <c r="F97">
        <f t="shared" si="22"/>
        <v>-5.0031062626132439E-3</v>
      </c>
      <c r="G97">
        <f t="shared" si="23"/>
        <v>-14.101269772739935</v>
      </c>
      <c r="H97" t="str">
        <f t="shared" si="24"/>
        <v>STOP</v>
      </c>
    </row>
    <row r="98" spans="1:8" x14ac:dyDescent="0.25">
      <c r="A98" t="s">
        <v>102</v>
      </c>
      <c r="B98" s="4">
        <f t="shared" si="19"/>
        <v>-14.101269772739935</v>
      </c>
      <c r="C98">
        <f t="shared" si="25"/>
        <v>0</v>
      </c>
      <c r="D98">
        <f t="shared" si="20"/>
        <v>-5.0031068177247562E-9</v>
      </c>
      <c r="E98">
        <f t="shared" si="21"/>
        <v>5.0031057075017316E-9</v>
      </c>
      <c r="F98">
        <f t="shared" si="22"/>
        <v>-5.0031062626132439E-3</v>
      </c>
      <c r="G98">
        <f t="shared" si="23"/>
        <v>-14.101269772739935</v>
      </c>
      <c r="H98" t="str">
        <f t="shared" si="24"/>
        <v>STOP</v>
      </c>
    </row>
    <row r="99" spans="1:8" x14ac:dyDescent="0.25">
      <c r="A99" t="s">
        <v>103</v>
      </c>
      <c r="B99" s="4">
        <f t="shared" si="19"/>
        <v>-14.101269772739935</v>
      </c>
      <c r="C99">
        <f t="shared" si="25"/>
        <v>0</v>
      </c>
      <c r="D99">
        <f t="shared" si="20"/>
        <v>-5.0031068177247562E-9</v>
      </c>
      <c r="E99">
        <f t="shared" si="21"/>
        <v>5.0031057075017316E-9</v>
      </c>
      <c r="F99">
        <f t="shared" si="22"/>
        <v>-5.0031062626132439E-3</v>
      </c>
      <c r="G99">
        <f t="shared" si="23"/>
        <v>-14.101269772739935</v>
      </c>
      <c r="H99" t="str">
        <f t="shared" si="24"/>
        <v>STOP</v>
      </c>
    </row>
    <row r="100" spans="1:8" x14ac:dyDescent="0.25">
      <c r="A100" t="s">
        <v>104</v>
      </c>
      <c r="B100" s="4">
        <f t="shared" ref="B100:B163" si="26">G99</f>
        <v>-14.101269772739935</v>
      </c>
      <c r="C100">
        <f t="shared" si="25"/>
        <v>0</v>
      </c>
      <c r="D100">
        <f t="shared" ref="D100:D163" si="27">EXP(B100+E$3)-ATAN(B100+E$3)-1.5</f>
        <v>-5.0031068177247562E-9</v>
      </c>
      <c r="E100">
        <f t="shared" ref="E100:E163" si="28">EXP(B100-E$3)-ATAN(B100-E$3)-1.5</f>
        <v>5.0031057075017316E-9</v>
      </c>
      <c r="F100">
        <f t="shared" ref="F100:F163" si="29">(D100-E100)/(E$3*2)</f>
        <v>-5.0031062626132439E-3</v>
      </c>
      <c r="G100">
        <f t="shared" ref="G100:G163" si="30">B100-C100/F100</f>
        <v>-14.101269772739935</v>
      </c>
      <c r="H100" t="str">
        <f t="shared" ref="H100:H163" si="31">IF(B101=B100,"STOP","")</f>
        <v>STOP</v>
      </c>
    </row>
    <row r="101" spans="1:8" x14ac:dyDescent="0.25">
      <c r="A101" t="s">
        <v>105</v>
      </c>
      <c r="B101" s="4">
        <f t="shared" si="26"/>
        <v>-14.101269772739935</v>
      </c>
      <c r="C101">
        <f t="shared" si="25"/>
        <v>0</v>
      </c>
      <c r="D101">
        <f t="shared" si="27"/>
        <v>-5.0031068177247562E-9</v>
      </c>
      <c r="E101">
        <f t="shared" si="28"/>
        <v>5.0031057075017316E-9</v>
      </c>
      <c r="F101">
        <f t="shared" si="29"/>
        <v>-5.0031062626132439E-3</v>
      </c>
      <c r="G101">
        <f t="shared" si="30"/>
        <v>-14.101269772739935</v>
      </c>
      <c r="H101" t="str">
        <f t="shared" si="31"/>
        <v>STOP</v>
      </c>
    </row>
    <row r="102" spans="1:8" x14ac:dyDescent="0.25">
      <c r="A102" t="s">
        <v>106</v>
      </c>
      <c r="B102" s="4">
        <f t="shared" si="26"/>
        <v>-14.101269772739935</v>
      </c>
      <c r="C102">
        <f t="shared" si="25"/>
        <v>0</v>
      </c>
      <c r="D102">
        <f t="shared" si="27"/>
        <v>-5.0031068177247562E-9</v>
      </c>
      <c r="E102">
        <f t="shared" si="28"/>
        <v>5.0031057075017316E-9</v>
      </c>
      <c r="F102">
        <f t="shared" si="29"/>
        <v>-5.0031062626132439E-3</v>
      </c>
      <c r="G102">
        <f t="shared" si="30"/>
        <v>-14.101269772739935</v>
      </c>
      <c r="H102" t="str">
        <f t="shared" si="31"/>
        <v>STOP</v>
      </c>
    </row>
    <row r="103" spans="1:8" x14ac:dyDescent="0.25">
      <c r="A103" t="s">
        <v>107</v>
      </c>
      <c r="B103" s="4">
        <f t="shared" si="26"/>
        <v>-14.101269772739935</v>
      </c>
      <c r="C103">
        <f t="shared" si="25"/>
        <v>0</v>
      </c>
      <c r="D103">
        <f t="shared" si="27"/>
        <v>-5.0031068177247562E-9</v>
      </c>
      <c r="E103">
        <f t="shared" si="28"/>
        <v>5.0031057075017316E-9</v>
      </c>
      <c r="F103">
        <f t="shared" si="29"/>
        <v>-5.0031062626132439E-3</v>
      </c>
      <c r="G103">
        <f t="shared" si="30"/>
        <v>-14.101269772739935</v>
      </c>
      <c r="H103" t="str">
        <f t="shared" si="31"/>
        <v>STOP</v>
      </c>
    </row>
    <row r="104" spans="1:8" x14ac:dyDescent="0.25">
      <c r="A104" t="s">
        <v>108</v>
      </c>
      <c r="B104" s="4">
        <f t="shared" si="26"/>
        <v>-14.101269772739935</v>
      </c>
      <c r="C104">
        <f t="shared" si="25"/>
        <v>0</v>
      </c>
      <c r="D104">
        <f t="shared" si="27"/>
        <v>-5.0031068177247562E-9</v>
      </c>
      <c r="E104">
        <f t="shared" si="28"/>
        <v>5.0031057075017316E-9</v>
      </c>
      <c r="F104">
        <f t="shared" si="29"/>
        <v>-5.0031062626132439E-3</v>
      </c>
      <c r="G104">
        <f t="shared" si="30"/>
        <v>-14.101269772739935</v>
      </c>
      <c r="H104" t="str">
        <f t="shared" si="31"/>
        <v>STOP</v>
      </c>
    </row>
    <row r="105" spans="1:8" x14ac:dyDescent="0.25">
      <c r="A105" t="s">
        <v>109</v>
      </c>
      <c r="B105" s="4">
        <f t="shared" si="26"/>
        <v>-14.101269772739935</v>
      </c>
      <c r="C105">
        <f t="shared" si="25"/>
        <v>0</v>
      </c>
      <c r="D105">
        <f t="shared" si="27"/>
        <v>-5.0031068177247562E-9</v>
      </c>
      <c r="E105">
        <f t="shared" si="28"/>
        <v>5.0031057075017316E-9</v>
      </c>
      <c r="F105">
        <f t="shared" si="29"/>
        <v>-5.0031062626132439E-3</v>
      </c>
      <c r="G105">
        <f t="shared" si="30"/>
        <v>-14.101269772739935</v>
      </c>
      <c r="H105" t="str">
        <f t="shared" si="31"/>
        <v>STOP</v>
      </c>
    </row>
    <row r="106" spans="1:8" x14ac:dyDescent="0.25">
      <c r="A106" t="s">
        <v>110</v>
      </c>
      <c r="B106" s="4">
        <f t="shared" si="26"/>
        <v>-14.101269772739935</v>
      </c>
      <c r="C106">
        <f t="shared" si="25"/>
        <v>0</v>
      </c>
      <c r="D106">
        <f t="shared" si="27"/>
        <v>-5.0031068177247562E-9</v>
      </c>
      <c r="E106">
        <f t="shared" si="28"/>
        <v>5.0031057075017316E-9</v>
      </c>
      <c r="F106">
        <f t="shared" si="29"/>
        <v>-5.0031062626132439E-3</v>
      </c>
      <c r="G106">
        <f t="shared" si="30"/>
        <v>-14.101269772739935</v>
      </c>
      <c r="H106" t="str">
        <f t="shared" si="31"/>
        <v>STOP</v>
      </c>
    </row>
    <row r="107" spans="1:8" x14ac:dyDescent="0.25">
      <c r="A107" t="s">
        <v>111</v>
      </c>
      <c r="B107" s="4">
        <f t="shared" si="26"/>
        <v>-14.101269772739935</v>
      </c>
      <c r="C107">
        <f t="shared" si="25"/>
        <v>0</v>
      </c>
      <c r="D107">
        <f t="shared" si="27"/>
        <v>-5.0031068177247562E-9</v>
      </c>
      <c r="E107">
        <f t="shared" si="28"/>
        <v>5.0031057075017316E-9</v>
      </c>
      <c r="F107">
        <f t="shared" si="29"/>
        <v>-5.0031062626132439E-3</v>
      </c>
      <c r="G107">
        <f t="shared" si="30"/>
        <v>-14.101269772739935</v>
      </c>
      <c r="H107" t="str">
        <f t="shared" si="31"/>
        <v>STOP</v>
      </c>
    </row>
    <row r="108" spans="1:8" x14ac:dyDescent="0.25">
      <c r="A108" t="s">
        <v>112</v>
      </c>
      <c r="B108" s="4">
        <f t="shared" si="26"/>
        <v>-14.101269772739935</v>
      </c>
      <c r="C108">
        <f t="shared" si="25"/>
        <v>0</v>
      </c>
      <c r="D108">
        <f t="shared" si="27"/>
        <v>-5.0031068177247562E-9</v>
      </c>
      <c r="E108">
        <f t="shared" si="28"/>
        <v>5.0031057075017316E-9</v>
      </c>
      <c r="F108">
        <f t="shared" si="29"/>
        <v>-5.0031062626132439E-3</v>
      </c>
      <c r="G108">
        <f t="shared" si="30"/>
        <v>-14.101269772739935</v>
      </c>
      <c r="H108" t="str">
        <f t="shared" si="31"/>
        <v>STOP</v>
      </c>
    </row>
    <row r="109" spans="1:8" x14ac:dyDescent="0.25">
      <c r="A109" t="s">
        <v>113</v>
      </c>
      <c r="B109" s="4">
        <f t="shared" si="26"/>
        <v>-14.101269772739935</v>
      </c>
      <c r="C109">
        <f t="shared" si="25"/>
        <v>0</v>
      </c>
      <c r="D109">
        <f t="shared" si="27"/>
        <v>-5.0031068177247562E-9</v>
      </c>
      <c r="E109">
        <f t="shared" si="28"/>
        <v>5.0031057075017316E-9</v>
      </c>
      <c r="F109">
        <f t="shared" si="29"/>
        <v>-5.0031062626132439E-3</v>
      </c>
      <c r="G109">
        <f t="shared" si="30"/>
        <v>-14.101269772739935</v>
      </c>
      <c r="H109" t="str">
        <f t="shared" si="31"/>
        <v>STOP</v>
      </c>
    </row>
    <row r="110" spans="1:8" x14ac:dyDescent="0.25">
      <c r="A110" t="s">
        <v>114</v>
      </c>
      <c r="B110" s="4">
        <f t="shared" si="26"/>
        <v>-14.101269772739935</v>
      </c>
      <c r="C110">
        <f t="shared" si="25"/>
        <v>0</v>
      </c>
      <c r="D110">
        <f t="shared" si="27"/>
        <v>-5.0031068177247562E-9</v>
      </c>
      <c r="E110">
        <f t="shared" si="28"/>
        <v>5.0031057075017316E-9</v>
      </c>
      <c r="F110">
        <f t="shared" si="29"/>
        <v>-5.0031062626132439E-3</v>
      </c>
      <c r="G110">
        <f t="shared" si="30"/>
        <v>-14.101269772739935</v>
      </c>
      <c r="H110" t="str">
        <f t="shared" si="31"/>
        <v>STOP</v>
      </c>
    </row>
    <row r="111" spans="1:8" x14ac:dyDescent="0.25">
      <c r="A111" t="s">
        <v>115</v>
      </c>
      <c r="B111" s="4">
        <f t="shared" si="26"/>
        <v>-14.101269772739935</v>
      </c>
      <c r="C111">
        <f t="shared" si="25"/>
        <v>0</v>
      </c>
      <c r="D111">
        <f t="shared" si="27"/>
        <v>-5.0031068177247562E-9</v>
      </c>
      <c r="E111">
        <f t="shared" si="28"/>
        <v>5.0031057075017316E-9</v>
      </c>
      <c r="F111">
        <f t="shared" si="29"/>
        <v>-5.0031062626132439E-3</v>
      </c>
      <c r="G111">
        <f t="shared" si="30"/>
        <v>-14.101269772739935</v>
      </c>
      <c r="H111" t="str">
        <f t="shared" si="31"/>
        <v>STOP</v>
      </c>
    </row>
    <row r="112" spans="1:8" x14ac:dyDescent="0.25">
      <c r="A112" t="s">
        <v>116</v>
      </c>
      <c r="B112" s="4">
        <f t="shared" si="26"/>
        <v>-14.101269772739935</v>
      </c>
      <c r="C112">
        <f t="shared" si="25"/>
        <v>0</v>
      </c>
      <c r="D112">
        <f t="shared" si="27"/>
        <v>-5.0031068177247562E-9</v>
      </c>
      <c r="E112">
        <f t="shared" si="28"/>
        <v>5.0031057075017316E-9</v>
      </c>
      <c r="F112">
        <f t="shared" si="29"/>
        <v>-5.0031062626132439E-3</v>
      </c>
      <c r="G112">
        <f t="shared" si="30"/>
        <v>-14.101269772739935</v>
      </c>
      <c r="H112" t="str">
        <f t="shared" si="31"/>
        <v>STOP</v>
      </c>
    </row>
    <row r="113" spans="1:8" x14ac:dyDescent="0.25">
      <c r="A113" t="s">
        <v>117</v>
      </c>
      <c r="B113" s="4">
        <f t="shared" si="26"/>
        <v>-14.101269772739935</v>
      </c>
      <c r="C113">
        <f t="shared" si="25"/>
        <v>0</v>
      </c>
      <c r="D113">
        <f t="shared" si="27"/>
        <v>-5.0031068177247562E-9</v>
      </c>
      <c r="E113">
        <f t="shared" si="28"/>
        <v>5.0031057075017316E-9</v>
      </c>
      <c r="F113">
        <f t="shared" si="29"/>
        <v>-5.0031062626132439E-3</v>
      </c>
      <c r="G113">
        <f t="shared" si="30"/>
        <v>-14.101269772739935</v>
      </c>
      <c r="H113" t="str">
        <f t="shared" si="31"/>
        <v>STOP</v>
      </c>
    </row>
    <row r="114" spans="1:8" x14ac:dyDescent="0.25">
      <c r="A114" t="s">
        <v>118</v>
      </c>
      <c r="B114" s="4">
        <f t="shared" si="26"/>
        <v>-14.101269772739935</v>
      </c>
      <c r="C114">
        <f t="shared" si="25"/>
        <v>0</v>
      </c>
      <c r="D114">
        <f t="shared" si="27"/>
        <v>-5.0031068177247562E-9</v>
      </c>
      <c r="E114">
        <f t="shared" si="28"/>
        <v>5.0031057075017316E-9</v>
      </c>
      <c r="F114">
        <f t="shared" si="29"/>
        <v>-5.0031062626132439E-3</v>
      </c>
      <c r="G114">
        <f t="shared" si="30"/>
        <v>-14.101269772739935</v>
      </c>
      <c r="H114" t="str">
        <f t="shared" si="31"/>
        <v>STOP</v>
      </c>
    </row>
    <row r="115" spans="1:8" x14ac:dyDescent="0.25">
      <c r="A115" t="s">
        <v>119</v>
      </c>
      <c r="B115" s="4">
        <f t="shared" si="26"/>
        <v>-14.101269772739935</v>
      </c>
      <c r="C115">
        <f t="shared" si="25"/>
        <v>0</v>
      </c>
      <c r="D115">
        <f t="shared" si="27"/>
        <v>-5.0031068177247562E-9</v>
      </c>
      <c r="E115">
        <f t="shared" si="28"/>
        <v>5.0031057075017316E-9</v>
      </c>
      <c r="F115">
        <f t="shared" si="29"/>
        <v>-5.0031062626132439E-3</v>
      </c>
      <c r="G115">
        <f t="shared" si="30"/>
        <v>-14.101269772739935</v>
      </c>
      <c r="H115" t="str">
        <f t="shared" si="31"/>
        <v>STOP</v>
      </c>
    </row>
    <row r="116" spans="1:8" x14ac:dyDescent="0.25">
      <c r="A116" t="s">
        <v>120</v>
      </c>
      <c r="B116" s="4">
        <f t="shared" si="26"/>
        <v>-14.101269772739935</v>
      </c>
      <c r="C116">
        <f t="shared" si="25"/>
        <v>0</v>
      </c>
      <c r="D116">
        <f t="shared" si="27"/>
        <v>-5.0031068177247562E-9</v>
      </c>
      <c r="E116">
        <f t="shared" si="28"/>
        <v>5.0031057075017316E-9</v>
      </c>
      <c r="F116">
        <f t="shared" si="29"/>
        <v>-5.0031062626132439E-3</v>
      </c>
      <c r="G116">
        <f t="shared" si="30"/>
        <v>-14.101269772739935</v>
      </c>
      <c r="H116" t="str">
        <f t="shared" si="31"/>
        <v>STOP</v>
      </c>
    </row>
    <row r="117" spans="1:8" x14ac:dyDescent="0.25">
      <c r="A117" t="s">
        <v>121</v>
      </c>
      <c r="B117" s="4">
        <f t="shared" si="26"/>
        <v>-14.101269772739935</v>
      </c>
      <c r="C117">
        <f t="shared" si="25"/>
        <v>0</v>
      </c>
      <c r="D117">
        <f t="shared" si="27"/>
        <v>-5.0031068177247562E-9</v>
      </c>
      <c r="E117">
        <f t="shared" si="28"/>
        <v>5.0031057075017316E-9</v>
      </c>
      <c r="F117">
        <f t="shared" si="29"/>
        <v>-5.0031062626132439E-3</v>
      </c>
      <c r="G117">
        <f t="shared" si="30"/>
        <v>-14.101269772739935</v>
      </c>
      <c r="H117" t="str">
        <f t="shared" si="31"/>
        <v>STOP</v>
      </c>
    </row>
    <row r="118" spans="1:8" x14ac:dyDescent="0.25">
      <c r="A118" t="s">
        <v>122</v>
      </c>
      <c r="B118" s="4">
        <f t="shared" si="26"/>
        <v>-14.101269772739935</v>
      </c>
      <c r="C118">
        <f t="shared" si="25"/>
        <v>0</v>
      </c>
      <c r="D118">
        <f t="shared" si="27"/>
        <v>-5.0031068177247562E-9</v>
      </c>
      <c r="E118">
        <f t="shared" si="28"/>
        <v>5.0031057075017316E-9</v>
      </c>
      <c r="F118">
        <f t="shared" si="29"/>
        <v>-5.0031062626132439E-3</v>
      </c>
      <c r="G118">
        <f t="shared" si="30"/>
        <v>-14.101269772739935</v>
      </c>
      <c r="H118" t="str">
        <f t="shared" si="31"/>
        <v>STOP</v>
      </c>
    </row>
    <row r="119" spans="1:8" x14ac:dyDescent="0.25">
      <c r="A119" t="s">
        <v>123</v>
      </c>
      <c r="B119" s="4">
        <f t="shared" si="26"/>
        <v>-14.101269772739935</v>
      </c>
      <c r="C119">
        <f t="shared" si="25"/>
        <v>0</v>
      </c>
      <c r="D119">
        <f t="shared" si="27"/>
        <v>-5.0031068177247562E-9</v>
      </c>
      <c r="E119">
        <f t="shared" si="28"/>
        <v>5.0031057075017316E-9</v>
      </c>
      <c r="F119">
        <f t="shared" si="29"/>
        <v>-5.0031062626132439E-3</v>
      </c>
      <c r="G119">
        <f t="shared" si="30"/>
        <v>-14.101269772739935</v>
      </c>
      <c r="H119" t="str">
        <f t="shared" si="31"/>
        <v>STOP</v>
      </c>
    </row>
    <row r="120" spans="1:8" x14ac:dyDescent="0.25">
      <c r="A120" t="s">
        <v>124</v>
      </c>
      <c r="B120" s="4">
        <f t="shared" si="26"/>
        <v>-14.101269772739935</v>
      </c>
      <c r="C120">
        <f t="shared" si="25"/>
        <v>0</v>
      </c>
      <c r="D120">
        <f t="shared" si="27"/>
        <v>-5.0031068177247562E-9</v>
      </c>
      <c r="E120">
        <f t="shared" si="28"/>
        <v>5.0031057075017316E-9</v>
      </c>
      <c r="F120">
        <f t="shared" si="29"/>
        <v>-5.0031062626132439E-3</v>
      </c>
      <c r="G120">
        <f t="shared" si="30"/>
        <v>-14.101269772739935</v>
      </c>
      <c r="H120" t="str">
        <f t="shared" si="31"/>
        <v>STOP</v>
      </c>
    </row>
    <row r="121" spans="1:8" x14ac:dyDescent="0.25">
      <c r="A121" t="s">
        <v>125</v>
      </c>
      <c r="B121" s="4">
        <f t="shared" si="26"/>
        <v>-14.101269772739935</v>
      </c>
      <c r="C121">
        <f t="shared" si="25"/>
        <v>0</v>
      </c>
      <c r="D121">
        <f t="shared" si="27"/>
        <v>-5.0031068177247562E-9</v>
      </c>
      <c r="E121">
        <f t="shared" si="28"/>
        <v>5.0031057075017316E-9</v>
      </c>
      <c r="F121">
        <f t="shared" si="29"/>
        <v>-5.0031062626132439E-3</v>
      </c>
      <c r="G121">
        <f t="shared" si="30"/>
        <v>-14.101269772739935</v>
      </c>
      <c r="H121" t="str">
        <f t="shared" si="31"/>
        <v>STOP</v>
      </c>
    </row>
    <row r="122" spans="1:8" x14ac:dyDescent="0.25">
      <c r="A122" t="s">
        <v>126</v>
      </c>
      <c r="B122" s="4">
        <f t="shared" si="26"/>
        <v>-14.101269772739935</v>
      </c>
      <c r="C122">
        <f t="shared" si="25"/>
        <v>0</v>
      </c>
      <c r="D122">
        <f t="shared" si="27"/>
        <v>-5.0031068177247562E-9</v>
      </c>
      <c r="E122">
        <f t="shared" si="28"/>
        <v>5.0031057075017316E-9</v>
      </c>
      <c r="F122">
        <f t="shared" si="29"/>
        <v>-5.0031062626132439E-3</v>
      </c>
      <c r="G122">
        <f t="shared" si="30"/>
        <v>-14.101269772739935</v>
      </c>
      <c r="H122" t="str">
        <f t="shared" si="31"/>
        <v>STOP</v>
      </c>
    </row>
    <row r="123" spans="1:8" x14ac:dyDescent="0.25">
      <c r="A123" t="s">
        <v>127</v>
      </c>
      <c r="B123" s="4">
        <f t="shared" si="26"/>
        <v>-14.101269772739935</v>
      </c>
      <c r="C123">
        <f t="shared" si="25"/>
        <v>0</v>
      </c>
      <c r="D123">
        <f t="shared" si="27"/>
        <v>-5.0031068177247562E-9</v>
      </c>
      <c r="E123">
        <f t="shared" si="28"/>
        <v>5.0031057075017316E-9</v>
      </c>
      <c r="F123">
        <f t="shared" si="29"/>
        <v>-5.0031062626132439E-3</v>
      </c>
      <c r="G123">
        <f t="shared" si="30"/>
        <v>-14.101269772739935</v>
      </c>
      <c r="H123" t="str">
        <f t="shared" si="31"/>
        <v>STOP</v>
      </c>
    </row>
    <row r="124" spans="1:8" x14ac:dyDescent="0.25">
      <c r="A124" t="s">
        <v>128</v>
      </c>
      <c r="B124" s="4">
        <f t="shared" si="26"/>
        <v>-14.101269772739935</v>
      </c>
      <c r="C124">
        <f t="shared" si="25"/>
        <v>0</v>
      </c>
      <c r="D124">
        <f t="shared" si="27"/>
        <v>-5.0031068177247562E-9</v>
      </c>
      <c r="E124">
        <f t="shared" si="28"/>
        <v>5.0031057075017316E-9</v>
      </c>
      <c r="F124">
        <f t="shared" si="29"/>
        <v>-5.0031062626132439E-3</v>
      </c>
      <c r="G124">
        <f t="shared" si="30"/>
        <v>-14.101269772739935</v>
      </c>
      <c r="H124" t="str">
        <f t="shared" si="31"/>
        <v>STOP</v>
      </c>
    </row>
    <row r="125" spans="1:8" x14ac:dyDescent="0.25">
      <c r="A125" t="s">
        <v>129</v>
      </c>
      <c r="B125" s="4">
        <f t="shared" si="26"/>
        <v>-14.101269772739935</v>
      </c>
      <c r="C125">
        <f t="shared" si="25"/>
        <v>0</v>
      </c>
      <c r="D125">
        <f t="shared" si="27"/>
        <v>-5.0031068177247562E-9</v>
      </c>
      <c r="E125">
        <f t="shared" si="28"/>
        <v>5.0031057075017316E-9</v>
      </c>
      <c r="F125">
        <f t="shared" si="29"/>
        <v>-5.0031062626132439E-3</v>
      </c>
      <c r="G125">
        <f t="shared" si="30"/>
        <v>-14.101269772739935</v>
      </c>
      <c r="H125" t="str">
        <f t="shared" si="31"/>
        <v>STOP</v>
      </c>
    </row>
    <row r="126" spans="1:8" x14ac:dyDescent="0.25">
      <c r="A126" t="s">
        <v>130</v>
      </c>
      <c r="B126" s="4">
        <f t="shared" si="26"/>
        <v>-14.101269772739935</v>
      </c>
      <c r="C126">
        <f t="shared" si="25"/>
        <v>0</v>
      </c>
      <c r="D126">
        <f t="shared" si="27"/>
        <v>-5.0031068177247562E-9</v>
      </c>
      <c r="E126">
        <f t="shared" si="28"/>
        <v>5.0031057075017316E-9</v>
      </c>
      <c r="F126">
        <f t="shared" si="29"/>
        <v>-5.0031062626132439E-3</v>
      </c>
      <c r="G126">
        <f t="shared" si="30"/>
        <v>-14.101269772739935</v>
      </c>
      <c r="H126" t="str">
        <f t="shared" si="31"/>
        <v>STOP</v>
      </c>
    </row>
    <row r="127" spans="1:8" x14ac:dyDescent="0.25">
      <c r="A127" t="s">
        <v>131</v>
      </c>
      <c r="B127" s="4">
        <f t="shared" si="26"/>
        <v>-14.101269772739935</v>
      </c>
      <c r="C127">
        <f t="shared" si="25"/>
        <v>0</v>
      </c>
      <c r="D127">
        <f t="shared" si="27"/>
        <v>-5.0031068177247562E-9</v>
      </c>
      <c r="E127">
        <f t="shared" si="28"/>
        <v>5.0031057075017316E-9</v>
      </c>
      <c r="F127">
        <f t="shared" si="29"/>
        <v>-5.0031062626132439E-3</v>
      </c>
      <c r="G127">
        <f t="shared" si="30"/>
        <v>-14.101269772739935</v>
      </c>
      <c r="H127" t="str">
        <f t="shared" si="31"/>
        <v>STOP</v>
      </c>
    </row>
    <row r="128" spans="1:8" x14ac:dyDescent="0.25">
      <c r="A128" t="s">
        <v>132</v>
      </c>
      <c r="B128" s="4">
        <f t="shared" si="26"/>
        <v>-14.101269772739935</v>
      </c>
      <c r="C128">
        <f t="shared" si="25"/>
        <v>0</v>
      </c>
      <c r="D128">
        <f t="shared" si="27"/>
        <v>-5.0031068177247562E-9</v>
      </c>
      <c r="E128">
        <f t="shared" si="28"/>
        <v>5.0031057075017316E-9</v>
      </c>
      <c r="F128">
        <f t="shared" si="29"/>
        <v>-5.0031062626132439E-3</v>
      </c>
      <c r="G128">
        <f t="shared" si="30"/>
        <v>-14.101269772739935</v>
      </c>
      <c r="H128" t="str">
        <f t="shared" si="31"/>
        <v>STOP</v>
      </c>
    </row>
    <row r="129" spans="1:8" x14ac:dyDescent="0.25">
      <c r="A129" t="s">
        <v>133</v>
      </c>
      <c r="B129" s="4">
        <f t="shared" si="26"/>
        <v>-14.101269772739935</v>
      </c>
      <c r="C129">
        <f t="shared" si="25"/>
        <v>0</v>
      </c>
      <c r="D129">
        <f t="shared" si="27"/>
        <v>-5.0031068177247562E-9</v>
      </c>
      <c r="E129">
        <f t="shared" si="28"/>
        <v>5.0031057075017316E-9</v>
      </c>
      <c r="F129">
        <f t="shared" si="29"/>
        <v>-5.0031062626132439E-3</v>
      </c>
      <c r="G129">
        <f t="shared" si="30"/>
        <v>-14.101269772739935</v>
      </c>
      <c r="H129" t="str">
        <f t="shared" si="31"/>
        <v>STOP</v>
      </c>
    </row>
    <row r="130" spans="1:8" x14ac:dyDescent="0.25">
      <c r="A130" t="s">
        <v>134</v>
      </c>
      <c r="B130" s="4">
        <f t="shared" si="26"/>
        <v>-14.101269772739935</v>
      </c>
      <c r="C130">
        <f t="shared" si="25"/>
        <v>0</v>
      </c>
      <c r="D130">
        <f t="shared" si="27"/>
        <v>-5.0031068177247562E-9</v>
      </c>
      <c r="E130">
        <f t="shared" si="28"/>
        <v>5.0031057075017316E-9</v>
      </c>
      <c r="F130">
        <f t="shared" si="29"/>
        <v>-5.0031062626132439E-3</v>
      </c>
      <c r="G130">
        <f t="shared" si="30"/>
        <v>-14.101269772739935</v>
      </c>
      <c r="H130" t="str">
        <f t="shared" si="31"/>
        <v>STOP</v>
      </c>
    </row>
    <row r="131" spans="1:8" x14ac:dyDescent="0.25">
      <c r="A131" t="s">
        <v>135</v>
      </c>
      <c r="B131" s="4">
        <f t="shared" si="26"/>
        <v>-14.101269772739935</v>
      </c>
      <c r="C131">
        <f t="shared" si="25"/>
        <v>0</v>
      </c>
      <c r="D131">
        <f t="shared" si="27"/>
        <v>-5.0031068177247562E-9</v>
      </c>
      <c r="E131">
        <f t="shared" si="28"/>
        <v>5.0031057075017316E-9</v>
      </c>
      <c r="F131">
        <f t="shared" si="29"/>
        <v>-5.0031062626132439E-3</v>
      </c>
      <c r="G131">
        <f t="shared" si="30"/>
        <v>-14.101269772739935</v>
      </c>
      <c r="H131" t="str">
        <f t="shared" si="31"/>
        <v>STOP</v>
      </c>
    </row>
    <row r="132" spans="1:8" x14ac:dyDescent="0.25">
      <c r="A132" t="s">
        <v>136</v>
      </c>
      <c r="B132" s="4">
        <f t="shared" si="26"/>
        <v>-14.101269772739935</v>
      </c>
      <c r="C132">
        <f t="shared" si="25"/>
        <v>0</v>
      </c>
      <c r="D132">
        <f t="shared" si="27"/>
        <v>-5.0031068177247562E-9</v>
      </c>
      <c r="E132">
        <f t="shared" si="28"/>
        <v>5.0031057075017316E-9</v>
      </c>
      <c r="F132">
        <f t="shared" si="29"/>
        <v>-5.0031062626132439E-3</v>
      </c>
      <c r="G132">
        <f t="shared" si="30"/>
        <v>-14.101269772739935</v>
      </c>
      <c r="H132" t="str">
        <f t="shared" si="31"/>
        <v>STOP</v>
      </c>
    </row>
    <row r="133" spans="1:8" x14ac:dyDescent="0.25">
      <c r="A133" t="s">
        <v>137</v>
      </c>
      <c r="B133" s="4">
        <f t="shared" si="26"/>
        <v>-14.101269772739935</v>
      </c>
      <c r="C133">
        <f t="shared" si="25"/>
        <v>0</v>
      </c>
      <c r="D133">
        <f t="shared" si="27"/>
        <v>-5.0031068177247562E-9</v>
      </c>
      <c r="E133">
        <f t="shared" si="28"/>
        <v>5.0031057075017316E-9</v>
      </c>
      <c r="F133">
        <f t="shared" si="29"/>
        <v>-5.0031062626132439E-3</v>
      </c>
      <c r="G133">
        <f t="shared" si="30"/>
        <v>-14.101269772739935</v>
      </c>
      <c r="H133" t="str">
        <f t="shared" si="31"/>
        <v>STOP</v>
      </c>
    </row>
    <row r="134" spans="1:8" x14ac:dyDescent="0.25">
      <c r="A134" t="s">
        <v>138</v>
      </c>
      <c r="B134" s="4">
        <f t="shared" si="26"/>
        <v>-14.101269772739935</v>
      </c>
      <c r="C134">
        <f t="shared" si="25"/>
        <v>0</v>
      </c>
      <c r="D134">
        <f t="shared" si="27"/>
        <v>-5.0031068177247562E-9</v>
      </c>
      <c r="E134">
        <f t="shared" si="28"/>
        <v>5.0031057075017316E-9</v>
      </c>
      <c r="F134">
        <f t="shared" si="29"/>
        <v>-5.0031062626132439E-3</v>
      </c>
      <c r="G134">
        <f t="shared" si="30"/>
        <v>-14.101269772739935</v>
      </c>
      <c r="H134" t="str">
        <f t="shared" si="31"/>
        <v>STOP</v>
      </c>
    </row>
    <row r="135" spans="1:8" x14ac:dyDescent="0.25">
      <c r="A135" t="s">
        <v>139</v>
      </c>
      <c r="B135" s="4">
        <f t="shared" si="26"/>
        <v>-14.101269772739935</v>
      </c>
      <c r="C135">
        <f t="shared" ref="C135:C198" si="32">EXP(B135)-ATAN(B135)-1.5</f>
        <v>0</v>
      </c>
      <c r="D135">
        <f t="shared" si="27"/>
        <v>-5.0031068177247562E-9</v>
      </c>
      <c r="E135">
        <f t="shared" si="28"/>
        <v>5.0031057075017316E-9</v>
      </c>
      <c r="F135">
        <f t="shared" si="29"/>
        <v>-5.0031062626132439E-3</v>
      </c>
      <c r="G135">
        <f t="shared" si="30"/>
        <v>-14.101269772739935</v>
      </c>
      <c r="H135" t="str">
        <f t="shared" si="31"/>
        <v>STOP</v>
      </c>
    </row>
    <row r="136" spans="1:8" x14ac:dyDescent="0.25">
      <c r="A136" t="s">
        <v>140</v>
      </c>
      <c r="B136" s="4">
        <f t="shared" si="26"/>
        <v>-14.101269772739935</v>
      </c>
      <c r="C136">
        <f t="shared" si="32"/>
        <v>0</v>
      </c>
      <c r="D136">
        <f t="shared" si="27"/>
        <v>-5.0031068177247562E-9</v>
      </c>
      <c r="E136">
        <f t="shared" si="28"/>
        <v>5.0031057075017316E-9</v>
      </c>
      <c r="F136">
        <f t="shared" si="29"/>
        <v>-5.0031062626132439E-3</v>
      </c>
      <c r="G136">
        <f t="shared" si="30"/>
        <v>-14.101269772739935</v>
      </c>
      <c r="H136" t="str">
        <f t="shared" si="31"/>
        <v>STOP</v>
      </c>
    </row>
    <row r="137" spans="1:8" x14ac:dyDescent="0.25">
      <c r="A137" t="s">
        <v>141</v>
      </c>
      <c r="B137" s="4">
        <f t="shared" si="26"/>
        <v>-14.101269772739935</v>
      </c>
      <c r="C137">
        <f t="shared" si="32"/>
        <v>0</v>
      </c>
      <c r="D137">
        <f t="shared" si="27"/>
        <v>-5.0031068177247562E-9</v>
      </c>
      <c r="E137">
        <f t="shared" si="28"/>
        <v>5.0031057075017316E-9</v>
      </c>
      <c r="F137">
        <f t="shared" si="29"/>
        <v>-5.0031062626132439E-3</v>
      </c>
      <c r="G137">
        <f t="shared" si="30"/>
        <v>-14.101269772739935</v>
      </c>
      <c r="H137" t="str">
        <f t="shared" si="31"/>
        <v>STOP</v>
      </c>
    </row>
    <row r="138" spans="1:8" x14ac:dyDescent="0.25">
      <c r="A138" t="s">
        <v>142</v>
      </c>
      <c r="B138" s="4">
        <f t="shared" si="26"/>
        <v>-14.101269772739935</v>
      </c>
      <c r="C138">
        <f t="shared" si="32"/>
        <v>0</v>
      </c>
      <c r="D138">
        <f t="shared" si="27"/>
        <v>-5.0031068177247562E-9</v>
      </c>
      <c r="E138">
        <f t="shared" si="28"/>
        <v>5.0031057075017316E-9</v>
      </c>
      <c r="F138">
        <f t="shared" si="29"/>
        <v>-5.0031062626132439E-3</v>
      </c>
      <c r="G138">
        <f t="shared" si="30"/>
        <v>-14.101269772739935</v>
      </c>
      <c r="H138" t="str">
        <f t="shared" si="31"/>
        <v>STOP</v>
      </c>
    </row>
    <row r="139" spans="1:8" x14ac:dyDescent="0.25">
      <c r="A139" t="s">
        <v>143</v>
      </c>
      <c r="B139" s="4">
        <f t="shared" si="26"/>
        <v>-14.101269772739935</v>
      </c>
      <c r="C139">
        <f t="shared" si="32"/>
        <v>0</v>
      </c>
      <c r="D139">
        <f t="shared" si="27"/>
        <v>-5.0031068177247562E-9</v>
      </c>
      <c r="E139">
        <f t="shared" si="28"/>
        <v>5.0031057075017316E-9</v>
      </c>
      <c r="F139">
        <f t="shared" si="29"/>
        <v>-5.0031062626132439E-3</v>
      </c>
      <c r="G139">
        <f t="shared" si="30"/>
        <v>-14.101269772739935</v>
      </c>
      <c r="H139" t="str">
        <f t="shared" si="31"/>
        <v>STOP</v>
      </c>
    </row>
    <row r="140" spans="1:8" x14ac:dyDescent="0.25">
      <c r="A140" t="s">
        <v>144</v>
      </c>
      <c r="B140" s="4">
        <f t="shared" si="26"/>
        <v>-14.101269772739935</v>
      </c>
      <c r="C140">
        <f t="shared" si="32"/>
        <v>0</v>
      </c>
      <c r="D140">
        <f t="shared" si="27"/>
        <v>-5.0031068177247562E-9</v>
      </c>
      <c r="E140">
        <f t="shared" si="28"/>
        <v>5.0031057075017316E-9</v>
      </c>
      <c r="F140">
        <f t="shared" si="29"/>
        <v>-5.0031062626132439E-3</v>
      </c>
      <c r="G140">
        <f t="shared" si="30"/>
        <v>-14.101269772739935</v>
      </c>
      <c r="H140" t="str">
        <f t="shared" si="31"/>
        <v>STOP</v>
      </c>
    </row>
    <row r="141" spans="1:8" x14ac:dyDescent="0.25">
      <c r="A141" t="s">
        <v>145</v>
      </c>
      <c r="B141" s="4">
        <f t="shared" si="26"/>
        <v>-14.101269772739935</v>
      </c>
      <c r="C141">
        <f t="shared" si="32"/>
        <v>0</v>
      </c>
      <c r="D141">
        <f t="shared" si="27"/>
        <v>-5.0031068177247562E-9</v>
      </c>
      <c r="E141">
        <f t="shared" si="28"/>
        <v>5.0031057075017316E-9</v>
      </c>
      <c r="F141">
        <f t="shared" si="29"/>
        <v>-5.0031062626132439E-3</v>
      </c>
      <c r="G141">
        <f t="shared" si="30"/>
        <v>-14.101269772739935</v>
      </c>
      <c r="H141" t="str">
        <f t="shared" si="31"/>
        <v>STOP</v>
      </c>
    </row>
    <row r="142" spans="1:8" x14ac:dyDescent="0.25">
      <c r="A142" t="s">
        <v>146</v>
      </c>
      <c r="B142" s="4">
        <f t="shared" si="26"/>
        <v>-14.101269772739935</v>
      </c>
      <c r="C142">
        <f t="shared" si="32"/>
        <v>0</v>
      </c>
      <c r="D142">
        <f t="shared" si="27"/>
        <v>-5.0031068177247562E-9</v>
      </c>
      <c r="E142">
        <f t="shared" si="28"/>
        <v>5.0031057075017316E-9</v>
      </c>
      <c r="F142">
        <f t="shared" si="29"/>
        <v>-5.0031062626132439E-3</v>
      </c>
      <c r="G142">
        <f t="shared" si="30"/>
        <v>-14.101269772739935</v>
      </c>
      <c r="H142" t="str">
        <f t="shared" si="31"/>
        <v>STOP</v>
      </c>
    </row>
    <row r="143" spans="1:8" x14ac:dyDescent="0.25">
      <c r="A143" t="s">
        <v>147</v>
      </c>
      <c r="B143" s="4">
        <f t="shared" si="26"/>
        <v>-14.101269772739935</v>
      </c>
      <c r="C143">
        <f t="shared" si="32"/>
        <v>0</v>
      </c>
      <c r="D143">
        <f t="shared" si="27"/>
        <v>-5.0031068177247562E-9</v>
      </c>
      <c r="E143">
        <f t="shared" si="28"/>
        <v>5.0031057075017316E-9</v>
      </c>
      <c r="F143">
        <f t="shared" si="29"/>
        <v>-5.0031062626132439E-3</v>
      </c>
      <c r="G143">
        <f t="shared" si="30"/>
        <v>-14.101269772739935</v>
      </c>
      <c r="H143" t="str">
        <f t="shared" si="31"/>
        <v>STOP</v>
      </c>
    </row>
    <row r="144" spans="1:8" x14ac:dyDescent="0.25">
      <c r="A144" t="s">
        <v>148</v>
      </c>
      <c r="B144" s="4">
        <f t="shared" si="26"/>
        <v>-14.101269772739935</v>
      </c>
      <c r="C144">
        <f t="shared" si="32"/>
        <v>0</v>
      </c>
      <c r="D144">
        <f t="shared" si="27"/>
        <v>-5.0031068177247562E-9</v>
      </c>
      <c r="E144">
        <f t="shared" si="28"/>
        <v>5.0031057075017316E-9</v>
      </c>
      <c r="F144">
        <f t="shared" si="29"/>
        <v>-5.0031062626132439E-3</v>
      </c>
      <c r="G144">
        <f t="shared" si="30"/>
        <v>-14.101269772739935</v>
      </c>
      <c r="H144" t="str">
        <f t="shared" si="31"/>
        <v>STOP</v>
      </c>
    </row>
    <row r="145" spans="1:8" x14ac:dyDescent="0.25">
      <c r="A145" t="s">
        <v>149</v>
      </c>
      <c r="B145" s="4">
        <f t="shared" si="26"/>
        <v>-14.101269772739935</v>
      </c>
      <c r="C145">
        <f t="shared" si="32"/>
        <v>0</v>
      </c>
      <c r="D145">
        <f t="shared" si="27"/>
        <v>-5.0031068177247562E-9</v>
      </c>
      <c r="E145">
        <f t="shared" si="28"/>
        <v>5.0031057075017316E-9</v>
      </c>
      <c r="F145">
        <f t="shared" si="29"/>
        <v>-5.0031062626132439E-3</v>
      </c>
      <c r="G145">
        <f t="shared" si="30"/>
        <v>-14.101269772739935</v>
      </c>
      <c r="H145" t="str">
        <f t="shared" si="31"/>
        <v>STOP</v>
      </c>
    </row>
    <row r="146" spans="1:8" x14ac:dyDescent="0.25">
      <c r="A146" t="s">
        <v>150</v>
      </c>
      <c r="B146" s="4">
        <f t="shared" si="26"/>
        <v>-14.101269772739935</v>
      </c>
      <c r="C146">
        <f t="shared" si="32"/>
        <v>0</v>
      </c>
      <c r="D146">
        <f t="shared" si="27"/>
        <v>-5.0031068177247562E-9</v>
      </c>
      <c r="E146">
        <f t="shared" si="28"/>
        <v>5.0031057075017316E-9</v>
      </c>
      <c r="F146">
        <f t="shared" si="29"/>
        <v>-5.0031062626132439E-3</v>
      </c>
      <c r="G146">
        <f t="shared" si="30"/>
        <v>-14.101269772739935</v>
      </c>
      <c r="H146" t="str">
        <f t="shared" si="31"/>
        <v>STOP</v>
      </c>
    </row>
    <row r="147" spans="1:8" x14ac:dyDescent="0.25">
      <c r="A147" t="s">
        <v>151</v>
      </c>
      <c r="B147" s="4">
        <f t="shared" si="26"/>
        <v>-14.101269772739935</v>
      </c>
      <c r="C147">
        <f t="shared" si="32"/>
        <v>0</v>
      </c>
      <c r="D147">
        <f t="shared" si="27"/>
        <v>-5.0031068177247562E-9</v>
      </c>
      <c r="E147">
        <f t="shared" si="28"/>
        <v>5.0031057075017316E-9</v>
      </c>
      <c r="F147">
        <f t="shared" si="29"/>
        <v>-5.0031062626132439E-3</v>
      </c>
      <c r="G147">
        <f t="shared" si="30"/>
        <v>-14.101269772739935</v>
      </c>
      <c r="H147" t="str">
        <f t="shared" si="31"/>
        <v>STOP</v>
      </c>
    </row>
    <row r="148" spans="1:8" x14ac:dyDescent="0.25">
      <c r="A148" t="s">
        <v>152</v>
      </c>
      <c r="B148" s="4">
        <f t="shared" si="26"/>
        <v>-14.101269772739935</v>
      </c>
      <c r="C148">
        <f t="shared" si="32"/>
        <v>0</v>
      </c>
      <c r="D148">
        <f t="shared" si="27"/>
        <v>-5.0031068177247562E-9</v>
      </c>
      <c r="E148">
        <f t="shared" si="28"/>
        <v>5.0031057075017316E-9</v>
      </c>
      <c r="F148">
        <f t="shared" si="29"/>
        <v>-5.0031062626132439E-3</v>
      </c>
      <c r="G148">
        <f t="shared" si="30"/>
        <v>-14.101269772739935</v>
      </c>
      <c r="H148" t="str">
        <f t="shared" si="31"/>
        <v>STOP</v>
      </c>
    </row>
    <row r="149" spans="1:8" x14ac:dyDescent="0.25">
      <c r="A149" t="s">
        <v>153</v>
      </c>
      <c r="B149" s="4">
        <f t="shared" si="26"/>
        <v>-14.101269772739935</v>
      </c>
      <c r="C149">
        <f t="shared" si="32"/>
        <v>0</v>
      </c>
      <c r="D149">
        <f t="shared" si="27"/>
        <v>-5.0031068177247562E-9</v>
      </c>
      <c r="E149">
        <f t="shared" si="28"/>
        <v>5.0031057075017316E-9</v>
      </c>
      <c r="F149">
        <f t="shared" si="29"/>
        <v>-5.0031062626132439E-3</v>
      </c>
      <c r="G149">
        <f t="shared" si="30"/>
        <v>-14.101269772739935</v>
      </c>
      <c r="H149" t="str">
        <f t="shared" si="31"/>
        <v>STOP</v>
      </c>
    </row>
    <row r="150" spans="1:8" x14ac:dyDescent="0.25">
      <c r="A150" t="s">
        <v>154</v>
      </c>
      <c r="B150" s="4">
        <f t="shared" si="26"/>
        <v>-14.101269772739935</v>
      </c>
      <c r="C150">
        <f t="shared" si="32"/>
        <v>0</v>
      </c>
      <c r="D150">
        <f t="shared" si="27"/>
        <v>-5.0031068177247562E-9</v>
      </c>
      <c r="E150">
        <f t="shared" si="28"/>
        <v>5.0031057075017316E-9</v>
      </c>
      <c r="F150">
        <f t="shared" si="29"/>
        <v>-5.0031062626132439E-3</v>
      </c>
      <c r="G150">
        <f t="shared" si="30"/>
        <v>-14.101269772739935</v>
      </c>
      <c r="H150" t="str">
        <f t="shared" si="31"/>
        <v>STOP</v>
      </c>
    </row>
    <row r="151" spans="1:8" x14ac:dyDescent="0.25">
      <c r="A151" t="s">
        <v>155</v>
      </c>
      <c r="B151" s="4">
        <f t="shared" si="26"/>
        <v>-14.101269772739935</v>
      </c>
      <c r="C151">
        <f t="shared" si="32"/>
        <v>0</v>
      </c>
      <c r="D151">
        <f t="shared" si="27"/>
        <v>-5.0031068177247562E-9</v>
      </c>
      <c r="E151">
        <f t="shared" si="28"/>
        <v>5.0031057075017316E-9</v>
      </c>
      <c r="F151">
        <f t="shared" si="29"/>
        <v>-5.0031062626132439E-3</v>
      </c>
      <c r="G151">
        <f t="shared" si="30"/>
        <v>-14.101269772739935</v>
      </c>
      <c r="H151" t="str">
        <f t="shared" si="31"/>
        <v>STOP</v>
      </c>
    </row>
    <row r="152" spans="1:8" x14ac:dyDescent="0.25">
      <c r="A152" t="s">
        <v>156</v>
      </c>
      <c r="B152" s="4">
        <f t="shared" si="26"/>
        <v>-14.101269772739935</v>
      </c>
      <c r="C152">
        <f t="shared" si="32"/>
        <v>0</v>
      </c>
      <c r="D152">
        <f t="shared" si="27"/>
        <v>-5.0031068177247562E-9</v>
      </c>
      <c r="E152">
        <f t="shared" si="28"/>
        <v>5.0031057075017316E-9</v>
      </c>
      <c r="F152">
        <f t="shared" si="29"/>
        <v>-5.0031062626132439E-3</v>
      </c>
      <c r="G152">
        <f t="shared" si="30"/>
        <v>-14.101269772739935</v>
      </c>
      <c r="H152" t="str">
        <f t="shared" si="31"/>
        <v>STOP</v>
      </c>
    </row>
    <row r="153" spans="1:8" x14ac:dyDescent="0.25">
      <c r="A153" t="s">
        <v>157</v>
      </c>
      <c r="B153" s="4">
        <f t="shared" si="26"/>
        <v>-14.101269772739935</v>
      </c>
      <c r="C153">
        <f t="shared" si="32"/>
        <v>0</v>
      </c>
      <c r="D153">
        <f t="shared" si="27"/>
        <v>-5.0031068177247562E-9</v>
      </c>
      <c r="E153">
        <f t="shared" si="28"/>
        <v>5.0031057075017316E-9</v>
      </c>
      <c r="F153">
        <f t="shared" si="29"/>
        <v>-5.0031062626132439E-3</v>
      </c>
      <c r="G153">
        <f t="shared" si="30"/>
        <v>-14.101269772739935</v>
      </c>
      <c r="H153" t="str">
        <f t="shared" si="31"/>
        <v>STOP</v>
      </c>
    </row>
    <row r="154" spans="1:8" x14ac:dyDescent="0.25">
      <c r="A154" t="s">
        <v>158</v>
      </c>
      <c r="B154" s="4">
        <f t="shared" si="26"/>
        <v>-14.101269772739935</v>
      </c>
      <c r="C154">
        <f t="shared" si="32"/>
        <v>0</v>
      </c>
      <c r="D154">
        <f t="shared" si="27"/>
        <v>-5.0031068177247562E-9</v>
      </c>
      <c r="E154">
        <f t="shared" si="28"/>
        <v>5.0031057075017316E-9</v>
      </c>
      <c r="F154">
        <f t="shared" si="29"/>
        <v>-5.0031062626132439E-3</v>
      </c>
      <c r="G154">
        <f t="shared" si="30"/>
        <v>-14.101269772739935</v>
      </c>
      <c r="H154" t="str">
        <f t="shared" si="31"/>
        <v>STOP</v>
      </c>
    </row>
    <row r="155" spans="1:8" x14ac:dyDescent="0.25">
      <c r="A155" t="s">
        <v>159</v>
      </c>
      <c r="B155" s="4">
        <f t="shared" si="26"/>
        <v>-14.101269772739935</v>
      </c>
      <c r="C155">
        <f t="shared" si="32"/>
        <v>0</v>
      </c>
      <c r="D155">
        <f t="shared" si="27"/>
        <v>-5.0031068177247562E-9</v>
      </c>
      <c r="E155">
        <f t="shared" si="28"/>
        <v>5.0031057075017316E-9</v>
      </c>
      <c r="F155">
        <f t="shared" si="29"/>
        <v>-5.0031062626132439E-3</v>
      </c>
      <c r="G155">
        <f t="shared" si="30"/>
        <v>-14.101269772739935</v>
      </c>
      <c r="H155" t="str">
        <f t="shared" si="31"/>
        <v>STOP</v>
      </c>
    </row>
    <row r="156" spans="1:8" x14ac:dyDescent="0.25">
      <c r="A156" t="s">
        <v>160</v>
      </c>
      <c r="B156" s="4">
        <f t="shared" si="26"/>
        <v>-14.101269772739935</v>
      </c>
      <c r="C156">
        <f t="shared" si="32"/>
        <v>0</v>
      </c>
      <c r="D156">
        <f t="shared" si="27"/>
        <v>-5.0031068177247562E-9</v>
      </c>
      <c r="E156">
        <f t="shared" si="28"/>
        <v>5.0031057075017316E-9</v>
      </c>
      <c r="F156">
        <f t="shared" si="29"/>
        <v>-5.0031062626132439E-3</v>
      </c>
      <c r="G156">
        <f t="shared" si="30"/>
        <v>-14.101269772739935</v>
      </c>
      <c r="H156" t="str">
        <f t="shared" si="31"/>
        <v>STOP</v>
      </c>
    </row>
    <row r="157" spans="1:8" x14ac:dyDescent="0.25">
      <c r="A157" t="s">
        <v>161</v>
      </c>
      <c r="B157" s="4">
        <f t="shared" si="26"/>
        <v>-14.101269772739935</v>
      </c>
      <c r="C157">
        <f t="shared" si="32"/>
        <v>0</v>
      </c>
      <c r="D157">
        <f t="shared" si="27"/>
        <v>-5.0031068177247562E-9</v>
      </c>
      <c r="E157">
        <f t="shared" si="28"/>
        <v>5.0031057075017316E-9</v>
      </c>
      <c r="F157">
        <f t="shared" si="29"/>
        <v>-5.0031062626132439E-3</v>
      </c>
      <c r="G157">
        <f t="shared" si="30"/>
        <v>-14.101269772739935</v>
      </c>
      <c r="H157" t="str">
        <f t="shared" si="31"/>
        <v>STOP</v>
      </c>
    </row>
    <row r="158" spans="1:8" x14ac:dyDescent="0.25">
      <c r="A158" t="s">
        <v>162</v>
      </c>
      <c r="B158" s="4">
        <f t="shared" si="26"/>
        <v>-14.101269772739935</v>
      </c>
      <c r="C158">
        <f t="shared" si="32"/>
        <v>0</v>
      </c>
      <c r="D158">
        <f t="shared" si="27"/>
        <v>-5.0031068177247562E-9</v>
      </c>
      <c r="E158">
        <f t="shared" si="28"/>
        <v>5.0031057075017316E-9</v>
      </c>
      <c r="F158">
        <f t="shared" si="29"/>
        <v>-5.0031062626132439E-3</v>
      </c>
      <c r="G158">
        <f t="shared" si="30"/>
        <v>-14.101269772739935</v>
      </c>
      <c r="H158" t="str">
        <f t="shared" si="31"/>
        <v>STOP</v>
      </c>
    </row>
    <row r="159" spans="1:8" x14ac:dyDescent="0.25">
      <c r="A159" t="s">
        <v>163</v>
      </c>
      <c r="B159" s="4">
        <f t="shared" si="26"/>
        <v>-14.101269772739935</v>
      </c>
      <c r="C159">
        <f t="shared" si="32"/>
        <v>0</v>
      </c>
      <c r="D159">
        <f t="shared" si="27"/>
        <v>-5.0031068177247562E-9</v>
      </c>
      <c r="E159">
        <f t="shared" si="28"/>
        <v>5.0031057075017316E-9</v>
      </c>
      <c r="F159">
        <f t="shared" si="29"/>
        <v>-5.0031062626132439E-3</v>
      </c>
      <c r="G159">
        <f t="shared" si="30"/>
        <v>-14.101269772739935</v>
      </c>
      <c r="H159" t="str">
        <f t="shared" si="31"/>
        <v>STOP</v>
      </c>
    </row>
    <row r="160" spans="1:8" x14ac:dyDescent="0.25">
      <c r="A160" t="s">
        <v>164</v>
      </c>
      <c r="B160" s="4">
        <f t="shared" si="26"/>
        <v>-14.101269772739935</v>
      </c>
      <c r="C160">
        <f t="shared" si="32"/>
        <v>0</v>
      </c>
      <c r="D160">
        <f t="shared" si="27"/>
        <v>-5.0031068177247562E-9</v>
      </c>
      <c r="E160">
        <f t="shared" si="28"/>
        <v>5.0031057075017316E-9</v>
      </c>
      <c r="F160">
        <f t="shared" si="29"/>
        <v>-5.0031062626132439E-3</v>
      </c>
      <c r="G160">
        <f t="shared" si="30"/>
        <v>-14.101269772739935</v>
      </c>
      <c r="H160" t="str">
        <f t="shared" si="31"/>
        <v>STOP</v>
      </c>
    </row>
    <row r="161" spans="1:8" x14ac:dyDescent="0.25">
      <c r="A161" t="s">
        <v>165</v>
      </c>
      <c r="B161" s="4">
        <f t="shared" si="26"/>
        <v>-14.101269772739935</v>
      </c>
      <c r="C161">
        <f t="shared" si="32"/>
        <v>0</v>
      </c>
      <c r="D161">
        <f t="shared" si="27"/>
        <v>-5.0031068177247562E-9</v>
      </c>
      <c r="E161">
        <f t="shared" si="28"/>
        <v>5.0031057075017316E-9</v>
      </c>
      <c r="F161">
        <f t="shared" si="29"/>
        <v>-5.0031062626132439E-3</v>
      </c>
      <c r="G161">
        <f t="shared" si="30"/>
        <v>-14.101269772739935</v>
      </c>
      <c r="H161" t="str">
        <f t="shared" si="31"/>
        <v>STOP</v>
      </c>
    </row>
    <row r="162" spans="1:8" x14ac:dyDescent="0.25">
      <c r="A162" t="s">
        <v>166</v>
      </c>
      <c r="B162" s="4">
        <f t="shared" si="26"/>
        <v>-14.101269772739935</v>
      </c>
      <c r="C162">
        <f t="shared" si="32"/>
        <v>0</v>
      </c>
      <c r="D162">
        <f t="shared" si="27"/>
        <v>-5.0031068177247562E-9</v>
      </c>
      <c r="E162">
        <f t="shared" si="28"/>
        <v>5.0031057075017316E-9</v>
      </c>
      <c r="F162">
        <f t="shared" si="29"/>
        <v>-5.0031062626132439E-3</v>
      </c>
      <c r="G162">
        <f t="shared" si="30"/>
        <v>-14.101269772739935</v>
      </c>
      <c r="H162" t="str">
        <f t="shared" si="31"/>
        <v>STOP</v>
      </c>
    </row>
    <row r="163" spans="1:8" x14ac:dyDescent="0.25">
      <c r="A163" t="s">
        <v>167</v>
      </c>
      <c r="B163" s="4">
        <f t="shared" si="26"/>
        <v>-14.101269772739935</v>
      </c>
      <c r="C163">
        <f t="shared" si="32"/>
        <v>0</v>
      </c>
      <c r="D163">
        <f t="shared" si="27"/>
        <v>-5.0031068177247562E-9</v>
      </c>
      <c r="E163">
        <f t="shared" si="28"/>
        <v>5.0031057075017316E-9</v>
      </c>
      <c r="F163">
        <f t="shared" si="29"/>
        <v>-5.0031062626132439E-3</v>
      </c>
      <c r="G163">
        <f t="shared" si="30"/>
        <v>-14.101269772739935</v>
      </c>
      <c r="H163" t="str">
        <f t="shared" si="31"/>
        <v>STOP</v>
      </c>
    </row>
    <row r="164" spans="1:8" x14ac:dyDescent="0.25">
      <c r="A164" t="s">
        <v>168</v>
      </c>
      <c r="B164" s="4">
        <f t="shared" ref="B164:B227" si="33">G163</f>
        <v>-14.101269772739935</v>
      </c>
      <c r="C164">
        <f t="shared" si="32"/>
        <v>0</v>
      </c>
      <c r="D164">
        <f t="shared" ref="D164:D227" si="34">EXP(B164+E$3)-ATAN(B164+E$3)-1.5</f>
        <v>-5.0031068177247562E-9</v>
      </c>
      <c r="E164">
        <f t="shared" ref="E164:E227" si="35">EXP(B164-E$3)-ATAN(B164-E$3)-1.5</f>
        <v>5.0031057075017316E-9</v>
      </c>
      <c r="F164">
        <f t="shared" ref="F164:F227" si="36">(D164-E164)/(E$3*2)</f>
        <v>-5.0031062626132439E-3</v>
      </c>
      <c r="G164">
        <f t="shared" ref="G164:G227" si="37">B164-C164/F164</f>
        <v>-14.101269772739935</v>
      </c>
      <c r="H164" t="str">
        <f t="shared" ref="H164:H227" si="38">IF(B165=B164,"STOP","")</f>
        <v>STOP</v>
      </c>
    </row>
    <row r="165" spans="1:8" x14ac:dyDescent="0.25">
      <c r="A165" t="s">
        <v>169</v>
      </c>
      <c r="B165" s="4">
        <f t="shared" si="33"/>
        <v>-14.101269772739935</v>
      </c>
      <c r="C165">
        <f t="shared" si="32"/>
        <v>0</v>
      </c>
      <c r="D165">
        <f t="shared" si="34"/>
        <v>-5.0031068177247562E-9</v>
      </c>
      <c r="E165">
        <f t="shared" si="35"/>
        <v>5.0031057075017316E-9</v>
      </c>
      <c r="F165">
        <f t="shared" si="36"/>
        <v>-5.0031062626132439E-3</v>
      </c>
      <c r="G165">
        <f t="shared" si="37"/>
        <v>-14.101269772739935</v>
      </c>
      <c r="H165" t="str">
        <f t="shared" si="38"/>
        <v>STOP</v>
      </c>
    </row>
    <row r="166" spans="1:8" x14ac:dyDescent="0.25">
      <c r="A166" t="s">
        <v>170</v>
      </c>
      <c r="B166" s="4">
        <f t="shared" si="33"/>
        <v>-14.101269772739935</v>
      </c>
      <c r="C166">
        <f t="shared" si="32"/>
        <v>0</v>
      </c>
      <c r="D166">
        <f t="shared" si="34"/>
        <v>-5.0031068177247562E-9</v>
      </c>
      <c r="E166">
        <f t="shared" si="35"/>
        <v>5.0031057075017316E-9</v>
      </c>
      <c r="F166">
        <f t="shared" si="36"/>
        <v>-5.0031062626132439E-3</v>
      </c>
      <c r="G166">
        <f t="shared" si="37"/>
        <v>-14.101269772739935</v>
      </c>
      <c r="H166" t="str">
        <f t="shared" si="38"/>
        <v>STOP</v>
      </c>
    </row>
    <row r="167" spans="1:8" x14ac:dyDescent="0.25">
      <c r="A167" t="s">
        <v>171</v>
      </c>
      <c r="B167" s="4">
        <f t="shared" si="33"/>
        <v>-14.101269772739935</v>
      </c>
      <c r="C167">
        <f t="shared" si="32"/>
        <v>0</v>
      </c>
      <c r="D167">
        <f t="shared" si="34"/>
        <v>-5.0031068177247562E-9</v>
      </c>
      <c r="E167">
        <f t="shared" si="35"/>
        <v>5.0031057075017316E-9</v>
      </c>
      <c r="F167">
        <f t="shared" si="36"/>
        <v>-5.0031062626132439E-3</v>
      </c>
      <c r="G167">
        <f t="shared" si="37"/>
        <v>-14.101269772739935</v>
      </c>
      <c r="H167" t="str">
        <f t="shared" si="38"/>
        <v>STOP</v>
      </c>
    </row>
    <row r="168" spans="1:8" x14ac:dyDescent="0.25">
      <c r="A168" t="s">
        <v>172</v>
      </c>
      <c r="B168" s="4">
        <f t="shared" si="33"/>
        <v>-14.101269772739935</v>
      </c>
      <c r="C168">
        <f t="shared" si="32"/>
        <v>0</v>
      </c>
      <c r="D168">
        <f t="shared" si="34"/>
        <v>-5.0031068177247562E-9</v>
      </c>
      <c r="E168">
        <f t="shared" si="35"/>
        <v>5.0031057075017316E-9</v>
      </c>
      <c r="F168">
        <f t="shared" si="36"/>
        <v>-5.0031062626132439E-3</v>
      </c>
      <c r="G168">
        <f t="shared" si="37"/>
        <v>-14.101269772739935</v>
      </c>
      <c r="H168" t="str">
        <f t="shared" si="38"/>
        <v>STOP</v>
      </c>
    </row>
    <row r="169" spans="1:8" x14ac:dyDescent="0.25">
      <c r="A169" t="s">
        <v>173</v>
      </c>
      <c r="B169" s="4">
        <f t="shared" si="33"/>
        <v>-14.101269772739935</v>
      </c>
      <c r="C169">
        <f t="shared" si="32"/>
        <v>0</v>
      </c>
      <c r="D169">
        <f t="shared" si="34"/>
        <v>-5.0031068177247562E-9</v>
      </c>
      <c r="E169">
        <f t="shared" si="35"/>
        <v>5.0031057075017316E-9</v>
      </c>
      <c r="F169">
        <f t="shared" si="36"/>
        <v>-5.0031062626132439E-3</v>
      </c>
      <c r="G169">
        <f t="shared" si="37"/>
        <v>-14.101269772739935</v>
      </c>
      <c r="H169" t="str">
        <f t="shared" si="38"/>
        <v>STOP</v>
      </c>
    </row>
    <row r="170" spans="1:8" x14ac:dyDescent="0.25">
      <c r="A170" t="s">
        <v>174</v>
      </c>
      <c r="B170" s="4">
        <f t="shared" si="33"/>
        <v>-14.101269772739935</v>
      </c>
      <c r="C170">
        <f t="shared" si="32"/>
        <v>0</v>
      </c>
      <c r="D170">
        <f t="shared" si="34"/>
        <v>-5.0031068177247562E-9</v>
      </c>
      <c r="E170">
        <f t="shared" si="35"/>
        <v>5.0031057075017316E-9</v>
      </c>
      <c r="F170">
        <f t="shared" si="36"/>
        <v>-5.0031062626132439E-3</v>
      </c>
      <c r="G170">
        <f t="shared" si="37"/>
        <v>-14.101269772739935</v>
      </c>
      <c r="H170" t="str">
        <f t="shared" si="38"/>
        <v>STOP</v>
      </c>
    </row>
    <row r="171" spans="1:8" x14ac:dyDescent="0.25">
      <c r="A171" t="s">
        <v>175</v>
      </c>
      <c r="B171" s="4">
        <f t="shared" si="33"/>
        <v>-14.101269772739935</v>
      </c>
      <c r="C171">
        <f t="shared" si="32"/>
        <v>0</v>
      </c>
      <c r="D171">
        <f t="shared" si="34"/>
        <v>-5.0031068177247562E-9</v>
      </c>
      <c r="E171">
        <f t="shared" si="35"/>
        <v>5.0031057075017316E-9</v>
      </c>
      <c r="F171">
        <f t="shared" si="36"/>
        <v>-5.0031062626132439E-3</v>
      </c>
      <c r="G171">
        <f t="shared" si="37"/>
        <v>-14.101269772739935</v>
      </c>
      <c r="H171" t="str">
        <f t="shared" si="38"/>
        <v>STOP</v>
      </c>
    </row>
    <row r="172" spans="1:8" x14ac:dyDescent="0.25">
      <c r="A172" t="s">
        <v>176</v>
      </c>
      <c r="B172" s="4">
        <f t="shared" si="33"/>
        <v>-14.101269772739935</v>
      </c>
      <c r="C172">
        <f t="shared" si="32"/>
        <v>0</v>
      </c>
      <c r="D172">
        <f t="shared" si="34"/>
        <v>-5.0031068177247562E-9</v>
      </c>
      <c r="E172">
        <f t="shared" si="35"/>
        <v>5.0031057075017316E-9</v>
      </c>
      <c r="F172">
        <f t="shared" si="36"/>
        <v>-5.0031062626132439E-3</v>
      </c>
      <c r="G172">
        <f t="shared" si="37"/>
        <v>-14.101269772739935</v>
      </c>
      <c r="H172" t="str">
        <f t="shared" si="38"/>
        <v>STOP</v>
      </c>
    </row>
    <row r="173" spans="1:8" x14ac:dyDescent="0.25">
      <c r="A173" t="s">
        <v>177</v>
      </c>
      <c r="B173" s="4">
        <f t="shared" si="33"/>
        <v>-14.101269772739935</v>
      </c>
      <c r="C173">
        <f t="shared" si="32"/>
        <v>0</v>
      </c>
      <c r="D173">
        <f t="shared" si="34"/>
        <v>-5.0031068177247562E-9</v>
      </c>
      <c r="E173">
        <f t="shared" si="35"/>
        <v>5.0031057075017316E-9</v>
      </c>
      <c r="F173">
        <f t="shared" si="36"/>
        <v>-5.0031062626132439E-3</v>
      </c>
      <c r="G173">
        <f t="shared" si="37"/>
        <v>-14.101269772739935</v>
      </c>
      <c r="H173" t="str">
        <f t="shared" si="38"/>
        <v>STOP</v>
      </c>
    </row>
    <row r="174" spans="1:8" x14ac:dyDescent="0.25">
      <c r="A174" t="s">
        <v>178</v>
      </c>
      <c r="B174" s="4">
        <f t="shared" si="33"/>
        <v>-14.101269772739935</v>
      </c>
      <c r="C174">
        <f t="shared" si="32"/>
        <v>0</v>
      </c>
      <c r="D174">
        <f t="shared" si="34"/>
        <v>-5.0031068177247562E-9</v>
      </c>
      <c r="E174">
        <f t="shared" si="35"/>
        <v>5.0031057075017316E-9</v>
      </c>
      <c r="F174">
        <f t="shared" si="36"/>
        <v>-5.0031062626132439E-3</v>
      </c>
      <c r="G174">
        <f t="shared" si="37"/>
        <v>-14.101269772739935</v>
      </c>
      <c r="H174" t="str">
        <f t="shared" si="38"/>
        <v>STOP</v>
      </c>
    </row>
    <row r="175" spans="1:8" x14ac:dyDescent="0.25">
      <c r="A175" t="s">
        <v>179</v>
      </c>
      <c r="B175" s="4">
        <f t="shared" si="33"/>
        <v>-14.101269772739935</v>
      </c>
      <c r="C175">
        <f t="shared" si="32"/>
        <v>0</v>
      </c>
      <c r="D175">
        <f t="shared" si="34"/>
        <v>-5.0031068177247562E-9</v>
      </c>
      <c r="E175">
        <f t="shared" si="35"/>
        <v>5.0031057075017316E-9</v>
      </c>
      <c r="F175">
        <f t="shared" si="36"/>
        <v>-5.0031062626132439E-3</v>
      </c>
      <c r="G175">
        <f t="shared" si="37"/>
        <v>-14.101269772739935</v>
      </c>
      <c r="H175" t="str">
        <f t="shared" si="38"/>
        <v>STOP</v>
      </c>
    </row>
    <row r="176" spans="1:8" x14ac:dyDescent="0.25">
      <c r="A176" t="s">
        <v>180</v>
      </c>
      <c r="B176" s="4">
        <f t="shared" si="33"/>
        <v>-14.101269772739935</v>
      </c>
      <c r="C176">
        <f t="shared" si="32"/>
        <v>0</v>
      </c>
      <c r="D176">
        <f t="shared" si="34"/>
        <v>-5.0031068177247562E-9</v>
      </c>
      <c r="E176">
        <f t="shared" si="35"/>
        <v>5.0031057075017316E-9</v>
      </c>
      <c r="F176">
        <f t="shared" si="36"/>
        <v>-5.0031062626132439E-3</v>
      </c>
      <c r="G176">
        <f t="shared" si="37"/>
        <v>-14.101269772739935</v>
      </c>
      <c r="H176" t="str">
        <f t="shared" si="38"/>
        <v>STOP</v>
      </c>
    </row>
    <row r="177" spans="1:8" x14ac:dyDescent="0.25">
      <c r="A177" t="s">
        <v>181</v>
      </c>
      <c r="B177" s="4">
        <f t="shared" si="33"/>
        <v>-14.101269772739935</v>
      </c>
      <c r="C177">
        <f t="shared" si="32"/>
        <v>0</v>
      </c>
      <c r="D177">
        <f t="shared" si="34"/>
        <v>-5.0031068177247562E-9</v>
      </c>
      <c r="E177">
        <f t="shared" si="35"/>
        <v>5.0031057075017316E-9</v>
      </c>
      <c r="F177">
        <f t="shared" si="36"/>
        <v>-5.0031062626132439E-3</v>
      </c>
      <c r="G177">
        <f t="shared" si="37"/>
        <v>-14.101269772739935</v>
      </c>
      <c r="H177" t="str">
        <f t="shared" si="38"/>
        <v>STOP</v>
      </c>
    </row>
    <row r="178" spans="1:8" x14ac:dyDescent="0.25">
      <c r="A178" t="s">
        <v>182</v>
      </c>
      <c r="B178" s="4">
        <f t="shared" si="33"/>
        <v>-14.101269772739935</v>
      </c>
      <c r="C178">
        <f t="shared" si="32"/>
        <v>0</v>
      </c>
      <c r="D178">
        <f t="shared" si="34"/>
        <v>-5.0031068177247562E-9</v>
      </c>
      <c r="E178">
        <f t="shared" si="35"/>
        <v>5.0031057075017316E-9</v>
      </c>
      <c r="F178">
        <f t="shared" si="36"/>
        <v>-5.0031062626132439E-3</v>
      </c>
      <c r="G178">
        <f t="shared" si="37"/>
        <v>-14.101269772739935</v>
      </c>
      <c r="H178" t="str">
        <f t="shared" si="38"/>
        <v>STOP</v>
      </c>
    </row>
    <row r="179" spans="1:8" x14ac:dyDescent="0.25">
      <c r="A179" t="s">
        <v>183</v>
      </c>
      <c r="B179" s="4">
        <f t="shared" si="33"/>
        <v>-14.101269772739935</v>
      </c>
      <c r="C179">
        <f t="shared" si="32"/>
        <v>0</v>
      </c>
      <c r="D179">
        <f t="shared" si="34"/>
        <v>-5.0031068177247562E-9</v>
      </c>
      <c r="E179">
        <f t="shared" si="35"/>
        <v>5.0031057075017316E-9</v>
      </c>
      <c r="F179">
        <f t="shared" si="36"/>
        <v>-5.0031062626132439E-3</v>
      </c>
      <c r="G179">
        <f t="shared" si="37"/>
        <v>-14.101269772739935</v>
      </c>
      <c r="H179" t="str">
        <f t="shared" si="38"/>
        <v>STOP</v>
      </c>
    </row>
    <row r="180" spans="1:8" x14ac:dyDescent="0.25">
      <c r="A180" t="s">
        <v>184</v>
      </c>
      <c r="B180" s="4">
        <f t="shared" si="33"/>
        <v>-14.101269772739935</v>
      </c>
      <c r="C180">
        <f t="shared" si="32"/>
        <v>0</v>
      </c>
      <c r="D180">
        <f t="shared" si="34"/>
        <v>-5.0031068177247562E-9</v>
      </c>
      <c r="E180">
        <f t="shared" si="35"/>
        <v>5.0031057075017316E-9</v>
      </c>
      <c r="F180">
        <f t="shared" si="36"/>
        <v>-5.0031062626132439E-3</v>
      </c>
      <c r="G180">
        <f t="shared" si="37"/>
        <v>-14.101269772739935</v>
      </c>
      <c r="H180" t="str">
        <f t="shared" si="38"/>
        <v>STOP</v>
      </c>
    </row>
    <row r="181" spans="1:8" x14ac:dyDescent="0.25">
      <c r="A181" t="s">
        <v>185</v>
      </c>
      <c r="B181" s="4">
        <f t="shared" si="33"/>
        <v>-14.101269772739935</v>
      </c>
      <c r="C181">
        <f t="shared" si="32"/>
        <v>0</v>
      </c>
      <c r="D181">
        <f t="shared" si="34"/>
        <v>-5.0031068177247562E-9</v>
      </c>
      <c r="E181">
        <f t="shared" si="35"/>
        <v>5.0031057075017316E-9</v>
      </c>
      <c r="F181">
        <f t="shared" si="36"/>
        <v>-5.0031062626132439E-3</v>
      </c>
      <c r="G181">
        <f t="shared" si="37"/>
        <v>-14.101269772739935</v>
      </c>
      <c r="H181" t="str">
        <f t="shared" si="38"/>
        <v>STOP</v>
      </c>
    </row>
    <row r="182" spans="1:8" x14ac:dyDescent="0.25">
      <c r="A182" t="s">
        <v>186</v>
      </c>
      <c r="B182" s="4">
        <f t="shared" si="33"/>
        <v>-14.101269772739935</v>
      </c>
      <c r="C182">
        <f t="shared" si="32"/>
        <v>0</v>
      </c>
      <c r="D182">
        <f t="shared" si="34"/>
        <v>-5.0031068177247562E-9</v>
      </c>
      <c r="E182">
        <f t="shared" si="35"/>
        <v>5.0031057075017316E-9</v>
      </c>
      <c r="F182">
        <f t="shared" si="36"/>
        <v>-5.0031062626132439E-3</v>
      </c>
      <c r="G182">
        <f t="shared" si="37"/>
        <v>-14.101269772739935</v>
      </c>
      <c r="H182" t="str">
        <f t="shared" si="38"/>
        <v>STOP</v>
      </c>
    </row>
    <row r="183" spans="1:8" x14ac:dyDescent="0.25">
      <c r="A183" t="s">
        <v>187</v>
      </c>
      <c r="B183" s="4">
        <f t="shared" si="33"/>
        <v>-14.101269772739935</v>
      </c>
      <c r="C183">
        <f t="shared" si="32"/>
        <v>0</v>
      </c>
      <c r="D183">
        <f t="shared" si="34"/>
        <v>-5.0031068177247562E-9</v>
      </c>
      <c r="E183">
        <f t="shared" si="35"/>
        <v>5.0031057075017316E-9</v>
      </c>
      <c r="F183">
        <f t="shared" si="36"/>
        <v>-5.0031062626132439E-3</v>
      </c>
      <c r="G183">
        <f t="shared" si="37"/>
        <v>-14.101269772739935</v>
      </c>
      <c r="H183" t="str">
        <f t="shared" si="38"/>
        <v>STOP</v>
      </c>
    </row>
    <row r="184" spans="1:8" x14ac:dyDescent="0.25">
      <c r="A184" t="s">
        <v>188</v>
      </c>
      <c r="B184" s="4">
        <f t="shared" si="33"/>
        <v>-14.101269772739935</v>
      </c>
      <c r="C184">
        <f t="shared" si="32"/>
        <v>0</v>
      </c>
      <c r="D184">
        <f t="shared" si="34"/>
        <v>-5.0031068177247562E-9</v>
      </c>
      <c r="E184">
        <f t="shared" si="35"/>
        <v>5.0031057075017316E-9</v>
      </c>
      <c r="F184">
        <f t="shared" si="36"/>
        <v>-5.0031062626132439E-3</v>
      </c>
      <c r="G184">
        <f t="shared" si="37"/>
        <v>-14.101269772739935</v>
      </c>
      <c r="H184" t="str">
        <f t="shared" si="38"/>
        <v>STOP</v>
      </c>
    </row>
    <row r="185" spans="1:8" x14ac:dyDescent="0.25">
      <c r="A185" t="s">
        <v>189</v>
      </c>
      <c r="B185" s="4">
        <f t="shared" si="33"/>
        <v>-14.101269772739935</v>
      </c>
      <c r="C185">
        <f t="shared" si="32"/>
        <v>0</v>
      </c>
      <c r="D185">
        <f t="shared" si="34"/>
        <v>-5.0031068177247562E-9</v>
      </c>
      <c r="E185">
        <f t="shared" si="35"/>
        <v>5.0031057075017316E-9</v>
      </c>
      <c r="F185">
        <f t="shared" si="36"/>
        <v>-5.0031062626132439E-3</v>
      </c>
      <c r="G185">
        <f t="shared" si="37"/>
        <v>-14.101269772739935</v>
      </c>
      <c r="H185" t="str">
        <f t="shared" si="38"/>
        <v>STOP</v>
      </c>
    </row>
    <row r="186" spans="1:8" x14ac:dyDescent="0.25">
      <c r="A186" t="s">
        <v>190</v>
      </c>
      <c r="B186" s="4">
        <f t="shared" si="33"/>
        <v>-14.101269772739935</v>
      </c>
      <c r="C186">
        <f t="shared" si="32"/>
        <v>0</v>
      </c>
      <c r="D186">
        <f t="shared" si="34"/>
        <v>-5.0031068177247562E-9</v>
      </c>
      <c r="E186">
        <f t="shared" si="35"/>
        <v>5.0031057075017316E-9</v>
      </c>
      <c r="F186">
        <f t="shared" si="36"/>
        <v>-5.0031062626132439E-3</v>
      </c>
      <c r="G186">
        <f t="shared" si="37"/>
        <v>-14.101269772739935</v>
      </c>
      <c r="H186" t="str">
        <f t="shared" si="38"/>
        <v>STOP</v>
      </c>
    </row>
    <row r="187" spans="1:8" x14ac:dyDescent="0.25">
      <c r="A187" t="s">
        <v>191</v>
      </c>
      <c r="B187" s="4">
        <f t="shared" si="33"/>
        <v>-14.101269772739935</v>
      </c>
      <c r="C187">
        <f t="shared" si="32"/>
        <v>0</v>
      </c>
      <c r="D187">
        <f t="shared" si="34"/>
        <v>-5.0031068177247562E-9</v>
      </c>
      <c r="E187">
        <f t="shared" si="35"/>
        <v>5.0031057075017316E-9</v>
      </c>
      <c r="F187">
        <f t="shared" si="36"/>
        <v>-5.0031062626132439E-3</v>
      </c>
      <c r="G187">
        <f t="shared" si="37"/>
        <v>-14.101269772739935</v>
      </c>
      <c r="H187" t="str">
        <f t="shared" si="38"/>
        <v>STOP</v>
      </c>
    </row>
    <row r="188" spans="1:8" x14ac:dyDescent="0.25">
      <c r="A188" t="s">
        <v>192</v>
      </c>
      <c r="B188" s="4">
        <f t="shared" si="33"/>
        <v>-14.101269772739935</v>
      </c>
      <c r="C188">
        <f t="shared" si="32"/>
        <v>0</v>
      </c>
      <c r="D188">
        <f t="shared" si="34"/>
        <v>-5.0031068177247562E-9</v>
      </c>
      <c r="E188">
        <f t="shared" si="35"/>
        <v>5.0031057075017316E-9</v>
      </c>
      <c r="F188">
        <f t="shared" si="36"/>
        <v>-5.0031062626132439E-3</v>
      </c>
      <c r="G188">
        <f t="shared" si="37"/>
        <v>-14.101269772739935</v>
      </c>
      <c r="H188" t="str">
        <f t="shared" si="38"/>
        <v>STOP</v>
      </c>
    </row>
    <row r="189" spans="1:8" x14ac:dyDescent="0.25">
      <c r="A189" t="s">
        <v>193</v>
      </c>
      <c r="B189" s="4">
        <f t="shared" si="33"/>
        <v>-14.101269772739935</v>
      </c>
      <c r="C189">
        <f t="shared" si="32"/>
        <v>0</v>
      </c>
      <c r="D189">
        <f t="shared" si="34"/>
        <v>-5.0031068177247562E-9</v>
      </c>
      <c r="E189">
        <f t="shared" si="35"/>
        <v>5.0031057075017316E-9</v>
      </c>
      <c r="F189">
        <f t="shared" si="36"/>
        <v>-5.0031062626132439E-3</v>
      </c>
      <c r="G189">
        <f t="shared" si="37"/>
        <v>-14.101269772739935</v>
      </c>
      <c r="H189" t="str">
        <f t="shared" si="38"/>
        <v>STOP</v>
      </c>
    </row>
    <row r="190" spans="1:8" x14ac:dyDescent="0.25">
      <c r="A190" t="s">
        <v>194</v>
      </c>
      <c r="B190" s="4">
        <f t="shared" si="33"/>
        <v>-14.101269772739935</v>
      </c>
      <c r="C190">
        <f t="shared" si="32"/>
        <v>0</v>
      </c>
      <c r="D190">
        <f t="shared" si="34"/>
        <v>-5.0031068177247562E-9</v>
      </c>
      <c r="E190">
        <f t="shared" si="35"/>
        <v>5.0031057075017316E-9</v>
      </c>
      <c r="F190">
        <f t="shared" si="36"/>
        <v>-5.0031062626132439E-3</v>
      </c>
      <c r="G190">
        <f t="shared" si="37"/>
        <v>-14.101269772739935</v>
      </c>
      <c r="H190" t="str">
        <f t="shared" si="38"/>
        <v>STOP</v>
      </c>
    </row>
    <row r="191" spans="1:8" x14ac:dyDescent="0.25">
      <c r="A191" t="s">
        <v>195</v>
      </c>
      <c r="B191" s="4">
        <f t="shared" si="33"/>
        <v>-14.101269772739935</v>
      </c>
      <c r="C191">
        <f t="shared" si="32"/>
        <v>0</v>
      </c>
      <c r="D191">
        <f t="shared" si="34"/>
        <v>-5.0031068177247562E-9</v>
      </c>
      <c r="E191">
        <f t="shared" si="35"/>
        <v>5.0031057075017316E-9</v>
      </c>
      <c r="F191">
        <f t="shared" si="36"/>
        <v>-5.0031062626132439E-3</v>
      </c>
      <c r="G191">
        <f t="shared" si="37"/>
        <v>-14.101269772739935</v>
      </c>
      <c r="H191" t="str">
        <f t="shared" si="38"/>
        <v>STOP</v>
      </c>
    </row>
    <row r="192" spans="1:8" x14ac:dyDescent="0.25">
      <c r="A192" t="s">
        <v>196</v>
      </c>
      <c r="B192" s="4">
        <f t="shared" si="33"/>
        <v>-14.101269772739935</v>
      </c>
      <c r="C192">
        <f t="shared" si="32"/>
        <v>0</v>
      </c>
      <c r="D192">
        <f t="shared" si="34"/>
        <v>-5.0031068177247562E-9</v>
      </c>
      <c r="E192">
        <f t="shared" si="35"/>
        <v>5.0031057075017316E-9</v>
      </c>
      <c r="F192">
        <f t="shared" si="36"/>
        <v>-5.0031062626132439E-3</v>
      </c>
      <c r="G192">
        <f t="shared" si="37"/>
        <v>-14.101269772739935</v>
      </c>
      <c r="H192" t="str">
        <f t="shared" si="38"/>
        <v>STOP</v>
      </c>
    </row>
    <row r="193" spans="1:8" x14ac:dyDescent="0.25">
      <c r="A193" t="s">
        <v>197</v>
      </c>
      <c r="B193" s="4">
        <f t="shared" si="33"/>
        <v>-14.101269772739935</v>
      </c>
      <c r="C193">
        <f t="shared" si="32"/>
        <v>0</v>
      </c>
      <c r="D193">
        <f t="shared" si="34"/>
        <v>-5.0031068177247562E-9</v>
      </c>
      <c r="E193">
        <f t="shared" si="35"/>
        <v>5.0031057075017316E-9</v>
      </c>
      <c r="F193">
        <f t="shared" si="36"/>
        <v>-5.0031062626132439E-3</v>
      </c>
      <c r="G193">
        <f t="shared" si="37"/>
        <v>-14.101269772739935</v>
      </c>
      <c r="H193" t="str">
        <f t="shared" si="38"/>
        <v>STOP</v>
      </c>
    </row>
    <row r="194" spans="1:8" x14ac:dyDescent="0.25">
      <c r="A194" t="s">
        <v>198</v>
      </c>
      <c r="B194" s="4">
        <f t="shared" si="33"/>
        <v>-14.101269772739935</v>
      </c>
      <c r="C194">
        <f t="shared" si="32"/>
        <v>0</v>
      </c>
      <c r="D194">
        <f t="shared" si="34"/>
        <v>-5.0031068177247562E-9</v>
      </c>
      <c r="E194">
        <f t="shared" si="35"/>
        <v>5.0031057075017316E-9</v>
      </c>
      <c r="F194">
        <f t="shared" si="36"/>
        <v>-5.0031062626132439E-3</v>
      </c>
      <c r="G194">
        <f t="shared" si="37"/>
        <v>-14.101269772739935</v>
      </c>
      <c r="H194" t="str">
        <f t="shared" si="38"/>
        <v>STOP</v>
      </c>
    </row>
    <row r="195" spans="1:8" x14ac:dyDescent="0.25">
      <c r="A195" t="s">
        <v>199</v>
      </c>
      <c r="B195" s="4">
        <f t="shared" si="33"/>
        <v>-14.101269772739935</v>
      </c>
      <c r="C195">
        <f t="shared" si="32"/>
        <v>0</v>
      </c>
      <c r="D195">
        <f t="shared" si="34"/>
        <v>-5.0031068177247562E-9</v>
      </c>
      <c r="E195">
        <f t="shared" si="35"/>
        <v>5.0031057075017316E-9</v>
      </c>
      <c r="F195">
        <f t="shared" si="36"/>
        <v>-5.0031062626132439E-3</v>
      </c>
      <c r="G195">
        <f t="shared" si="37"/>
        <v>-14.101269772739935</v>
      </c>
      <c r="H195" t="str">
        <f t="shared" si="38"/>
        <v>STOP</v>
      </c>
    </row>
    <row r="196" spans="1:8" x14ac:dyDescent="0.25">
      <c r="A196" t="s">
        <v>200</v>
      </c>
      <c r="B196" s="4">
        <f t="shared" si="33"/>
        <v>-14.101269772739935</v>
      </c>
      <c r="C196">
        <f t="shared" si="32"/>
        <v>0</v>
      </c>
      <c r="D196">
        <f t="shared" si="34"/>
        <v>-5.0031068177247562E-9</v>
      </c>
      <c r="E196">
        <f t="shared" si="35"/>
        <v>5.0031057075017316E-9</v>
      </c>
      <c r="F196">
        <f t="shared" si="36"/>
        <v>-5.0031062626132439E-3</v>
      </c>
      <c r="G196">
        <f t="shared" si="37"/>
        <v>-14.101269772739935</v>
      </c>
      <c r="H196" t="str">
        <f t="shared" si="38"/>
        <v>STOP</v>
      </c>
    </row>
    <row r="197" spans="1:8" x14ac:dyDescent="0.25">
      <c r="A197" t="s">
        <v>201</v>
      </c>
      <c r="B197" s="4">
        <f t="shared" si="33"/>
        <v>-14.101269772739935</v>
      </c>
      <c r="C197">
        <f t="shared" si="32"/>
        <v>0</v>
      </c>
      <c r="D197">
        <f t="shared" si="34"/>
        <v>-5.0031068177247562E-9</v>
      </c>
      <c r="E197">
        <f t="shared" si="35"/>
        <v>5.0031057075017316E-9</v>
      </c>
      <c r="F197">
        <f t="shared" si="36"/>
        <v>-5.0031062626132439E-3</v>
      </c>
      <c r="G197">
        <f t="shared" si="37"/>
        <v>-14.101269772739935</v>
      </c>
      <c r="H197" t="str">
        <f t="shared" si="38"/>
        <v>STOP</v>
      </c>
    </row>
    <row r="198" spans="1:8" x14ac:dyDescent="0.25">
      <c r="A198" t="s">
        <v>202</v>
      </c>
      <c r="B198" s="4">
        <f t="shared" si="33"/>
        <v>-14.101269772739935</v>
      </c>
      <c r="C198">
        <f t="shared" si="32"/>
        <v>0</v>
      </c>
      <c r="D198">
        <f t="shared" si="34"/>
        <v>-5.0031068177247562E-9</v>
      </c>
      <c r="E198">
        <f t="shared" si="35"/>
        <v>5.0031057075017316E-9</v>
      </c>
      <c r="F198">
        <f t="shared" si="36"/>
        <v>-5.0031062626132439E-3</v>
      </c>
      <c r="G198">
        <f t="shared" si="37"/>
        <v>-14.101269772739935</v>
      </c>
      <c r="H198" t="str">
        <f t="shared" si="38"/>
        <v>STOP</v>
      </c>
    </row>
    <row r="199" spans="1:8" x14ac:dyDescent="0.25">
      <c r="A199" t="s">
        <v>203</v>
      </c>
      <c r="B199" s="4">
        <f t="shared" si="33"/>
        <v>-14.101269772739935</v>
      </c>
      <c r="C199">
        <f t="shared" ref="C199:C244" si="39">EXP(B199)-ATAN(B199)-1.5</f>
        <v>0</v>
      </c>
      <c r="D199">
        <f t="shared" si="34"/>
        <v>-5.0031068177247562E-9</v>
      </c>
      <c r="E199">
        <f t="shared" si="35"/>
        <v>5.0031057075017316E-9</v>
      </c>
      <c r="F199">
        <f t="shared" si="36"/>
        <v>-5.0031062626132439E-3</v>
      </c>
      <c r="G199">
        <f t="shared" si="37"/>
        <v>-14.101269772739935</v>
      </c>
      <c r="H199" t="str">
        <f t="shared" si="38"/>
        <v>STOP</v>
      </c>
    </row>
    <row r="200" spans="1:8" x14ac:dyDescent="0.25">
      <c r="A200" t="s">
        <v>210</v>
      </c>
      <c r="B200" s="4">
        <f t="shared" si="33"/>
        <v>-14.101269772739935</v>
      </c>
      <c r="C200">
        <f t="shared" si="39"/>
        <v>0</v>
      </c>
      <c r="D200">
        <f t="shared" si="34"/>
        <v>-5.0031068177247562E-9</v>
      </c>
      <c r="E200">
        <f t="shared" si="35"/>
        <v>5.0031057075017316E-9</v>
      </c>
      <c r="F200">
        <f t="shared" si="36"/>
        <v>-5.0031062626132439E-3</v>
      </c>
      <c r="G200">
        <f t="shared" si="37"/>
        <v>-14.101269772739935</v>
      </c>
      <c r="H200" t="str">
        <f t="shared" si="38"/>
        <v>STOP</v>
      </c>
    </row>
    <row r="201" spans="1:8" x14ac:dyDescent="0.25">
      <c r="A201" t="s">
        <v>211</v>
      </c>
      <c r="B201" s="4">
        <f t="shared" si="33"/>
        <v>-14.101269772739935</v>
      </c>
      <c r="C201">
        <f t="shared" si="39"/>
        <v>0</v>
      </c>
      <c r="D201">
        <f t="shared" si="34"/>
        <v>-5.0031068177247562E-9</v>
      </c>
      <c r="E201">
        <f t="shared" si="35"/>
        <v>5.0031057075017316E-9</v>
      </c>
      <c r="F201">
        <f t="shared" si="36"/>
        <v>-5.0031062626132439E-3</v>
      </c>
      <c r="G201">
        <f t="shared" si="37"/>
        <v>-14.101269772739935</v>
      </c>
      <c r="H201" t="str">
        <f t="shared" si="38"/>
        <v>STOP</v>
      </c>
    </row>
    <row r="202" spans="1:8" x14ac:dyDescent="0.25">
      <c r="A202" t="s">
        <v>212</v>
      </c>
      <c r="B202" s="4">
        <f t="shared" si="33"/>
        <v>-14.101269772739935</v>
      </c>
      <c r="C202">
        <f t="shared" si="39"/>
        <v>0</v>
      </c>
      <c r="D202">
        <f t="shared" si="34"/>
        <v>-5.0031068177247562E-9</v>
      </c>
      <c r="E202">
        <f t="shared" si="35"/>
        <v>5.0031057075017316E-9</v>
      </c>
      <c r="F202">
        <f t="shared" si="36"/>
        <v>-5.0031062626132439E-3</v>
      </c>
      <c r="G202">
        <f t="shared" si="37"/>
        <v>-14.101269772739935</v>
      </c>
      <c r="H202" t="str">
        <f t="shared" si="38"/>
        <v>STOP</v>
      </c>
    </row>
    <row r="203" spans="1:8" x14ac:dyDescent="0.25">
      <c r="A203" t="s">
        <v>213</v>
      </c>
      <c r="B203" s="4">
        <f t="shared" si="33"/>
        <v>-14.101269772739935</v>
      </c>
      <c r="C203">
        <f t="shared" si="39"/>
        <v>0</v>
      </c>
      <c r="D203">
        <f t="shared" si="34"/>
        <v>-5.0031068177247562E-9</v>
      </c>
      <c r="E203">
        <f t="shared" si="35"/>
        <v>5.0031057075017316E-9</v>
      </c>
      <c r="F203">
        <f t="shared" si="36"/>
        <v>-5.0031062626132439E-3</v>
      </c>
      <c r="G203">
        <f t="shared" si="37"/>
        <v>-14.101269772739935</v>
      </c>
      <c r="H203" t="str">
        <f t="shared" si="38"/>
        <v>STOP</v>
      </c>
    </row>
    <row r="204" spans="1:8" x14ac:dyDescent="0.25">
      <c r="A204" t="s">
        <v>214</v>
      </c>
      <c r="B204" s="4">
        <f t="shared" si="33"/>
        <v>-14.101269772739935</v>
      </c>
      <c r="C204">
        <f t="shared" si="39"/>
        <v>0</v>
      </c>
      <c r="D204">
        <f t="shared" si="34"/>
        <v>-5.0031068177247562E-9</v>
      </c>
      <c r="E204">
        <f t="shared" si="35"/>
        <v>5.0031057075017316E-9</v>
      </c>
      <c r="F204">
        <f t="shared" si="36"/>
        <v>-5.0031062626132439E-3</v>
      </c>
      <c r="G204">
        <f t="shared" si="37"/>
        <v>-14.101269772739935</v>
      </c>
      <c r="H204" t="str">
        <f t="shared" si="38"/>
        <v>STOP</v>
      </c>
    </row>
    <row r="205" spans="1:8" x14ac:dyDescent="0.25">
      <c r="A205" t="s">
        <v>215</v>
      </c>
      <c r="B205" s="4">
        <f t="shared" si="33"/>
        <v>-14.101269772739935</v>
      </c>
      <c r="C205">
        <f t="shared" si="39"/>
        <v>0</v>
      </c>
      <c r="D205">
        <f t="shared" si="34"/>
        <v>-5.0031068177247562E-9</v>
      </c>
      <c r="E205">
        <f t="shared" si="35"/>
        <v>5.0031057075017316E-9</v>
      </c>
      <c r="F205">
        <f t="shared" si="36"/>
        <v>-5.0031062626132439E-3</v>
      </c>
      <c r="G205">
        <f t="shared" si="37"/>
        <v>-14.101269772739935</v>
      </c>
      <c r="H205" t="str">
        <f t="shared" si="38"/>
        <v>STOP</v>
      </c>
    </row>
    <row r="206" spans="1:8" x14ac:dyDescent="0.25">
      <c r="A206" t="s">
        <v>216</v>
      </c>
      <c r="B206" s="4">
        <f t="shared" si="33"/>
        <v>-14.101269772739935</v>
      </c>
      <c r="C206">
        <f t="shared" si="39"/>
        <v>0</v>
      </c>
      <c r="D206">
        <f t="shared" si="34"/>
        <v>-5.0031068177247562E-9</v>
      </c>
      <c r="E206">
        <f t="shared" si="35"/>
        <v>5.0031057075017316E-9</v>
      </c>
      <c r="F206">
        <f t="shared" si="36"/>
        <v>-5.0031062626132439E-3</v>
      </c>
      <c r="G206">
        <f t="shared" si="37"/>
        <v>-14.101269772739935</v>
      </c>
      <c r="H206" t="str">
        <f t="shared" si="38"/>
        <v>STOP</v>
      </c>
    </row>
    <row r="207" spans="1:8" x14ac:dyDescent="0.25">
      <c r="A207" t="s">
        <v>217</v>
      </c>
      <c r="B207" s="4">
        <f t="shared" si="33"/>
        <v>-14.101269772739935</v>
      </c>
      <c r="C207">
        <f t="shared" si="39"/>
        <v>0</v>
      </c>
      <c r="D207">
        <f t="shared" si="34"/>
        <v>-5.0031068177247562E-9</v>
      </c>
      <c r="E207">
        <f t="shared" si="35"/>
        <v>5.0031057075017316E-9</v>
      </c>
      <c r="F207">
        <f t="shared" si="36"/>
        <v>-5.0031062626132439E-3</v>
      </c>
      <c r="G207">
        <f t="shared" si="37"/>
        <v>-14.101269772739935</v>
      </c>
      <c r="H207" t="str">
        <f t="shared" si="38"/>
        <v>STOP</v>
      </c>
    </row>
    <row r="208" spans="1:8" x14ac:dyDescent="0.25">
      <c r="A208" t="s">
        <v>218</v>
      </c>
      <c r="B208" s="4">
        <f t="shared" si="33"/>
        <v>-14.101269772739935</v>
      </c>
      <c r="C208">
        <f t="shared" si="39"/>
        <v>0</v>
      </c>
      <c r="D208">
        <f t="shared" si="34"/>
        <v>-5.0031068177247562E-9</v>
      </c>
      <c r="E208">
        <f t="shared" si="35"/>
        <v>5.0031057075017316E-9</v>
      </c>
      <c r="F208">
        <f t="shared" si="36"/>
        <v>-5.0031062626132439E-3</v>
      </c>
      <c r="G208">
        <f t="shared" si="37"/>
        <v>-14.101269772739935</v>
      </c>
      <c r="H208" t="str">
        <f t="shared" si="38"/>
        <v>STOP</v>
      </c>
    </row>
    <row r="209" spans="1:8" x14ac:dyDescent="0.25">
      <c r="A209" t="s">
        <v>219</v>
      </c>
      <c r="B209" s="4">
        <f t="shared" si="33"/>
        <v>-14.101269772739935</v>
      </c>
      <c r="C209">
        <f t="shared" si="39"/>
        <v>0</v>
      </c>
      <c r="D209">
        <f t="shared" si="34"/>
        <v>-5.0031068177247562E-9</v>
      </c>
      <c r="E209">
        <f t="shared" si="35"/>
        <v>5.0031057075017316E-9</v>
      </c>
      <c r="F209">
        <f t="shared" si="36"/>
        <v>-5.0031062626132439E-3</v>
      </c>
      <c r="G209">
        <f t="shared" si="37"/>
        <v>-14.101269772739935</v>
      </c>
      <c r="H209" t="str">
        <f t="shared" si="38"/>
        <v>STOP</v>
      </c>
    </row>
    <row r="210" spans="1:8" x14ac:dyDescent="0.25">
      <c r="A210" t="s">
        <v>220</v>
      </c>
      <c r="B210" s="4">
        <f t="shared" si="33"/>
        <v>-14.101269772739935</v>
      </c>
      <c r="C210">
        <f t="shared" si="39"/>
        <v>0</v>
      </c>
      <c r="D210">
        <f t="shared" si="34"/>
        <v>-5.0031068177247562E-9</v>
      </c>
      <c r="E210">
        <f t="shared" si="35"/>
        <v>5.0031057075017316E-9</v>
      </c>
      <c r="F210">
        <f t="shared" si="36"/>
        <v>-5.0031062626132439E-3</v>
      </c>
      <c r="G210">
        <f t="shared" si="37"/>
        <v>-14.101269772739935</v>
      </c>
      <c r="H210" t="str">
        <f t="shared" si="38"/>
        <v>STOP</v>
      </c>
    </row>
    <row r="211" spans="1:8" x14ac:dyDescent="0.25">
      <c r="A211" t="s">
        <v>221</v>
      </c>
      <c r="B211" s="4">
        <f t="shared" si="33"/>
        <v>-14.101269772739935</v>
      </c>
      <c r="C211">
        <f t="shared" si="39"/>
        <v>0</v>
      </c>
      <c r="D211">
        <f t="shared" si="34"/>
        <v>-5.0031068177247562E-9</v>
      </c>
      <c r="E211">
        <f t="shared" si="35"/>
        <v>5.0031057075017316E-9</v>
      </c>
      <c r="F211">
        <f t="shared" si="36"/>
        <v>-5.0031062626132439E-3</v>
      </c>
      <c r="G211">
        <f t="shared" si="37"/>
        <v>-14.101269772739935</v>
      </c>
      <c r="H211" t="str">
        <f t="shared" si="38"/>
        <v>STOP</v>
      </c>
    </row>
    <row r="212" spans="1:8" x14ac:dyDescent="0.25">
      <c r="A212" t="s">
        <v>222</v>
      </c>
      <c r="B212" s="4">
        <f t="shared" si="33"/>
        <v>-14.101269772739935</v>
      </c>
      <c r="C212">
        <f t="shared" si="39"/>
        <v>0</v>
      </c>
      <c r="D212">
        <f t="shared" si="34"/>
        <v>-5.0031068177247562E-9</v>
      </c>
      <c r="E212">
        <f t="shared" si="35"/>
        <v>5.0031057075017316E-9</v>
      </c>
      <c r="F212">
        <f t="shared" si="36"/>
        <v>-5.0031062626132439E-3</v>
      </c>
      <c r="G212">
        <f t="shared" si="37"/>
        <v>-14.101269772739935</v>
      </c>
      <c r="H212" t="str">
        <f t="shared" si="38"/>
        <v>STOP</v>
      </c>
    </row>
    <row r="213" spans="1:8" x14ac:dyDescent="0.25">
      <c r="A213" t="s">
        <v>223</v>
      </c>
      <c r="B213" s="4">
        <f t="shared" si="33"/>
        <v>-14.101269772739935</v>
      </c>
      <c r="C213">
        <f t="shared" si="39"/>
        <v>0</v>
      </c>
      <c r="D213">
        <f t="shared" si="34"/>
        <v>-5.0031068177247562E-9</v>
      </c>
      <c r="E213">
        <f t="shared" si="35"/>
        <v>5.0031057075017316E-9</v>
      </c>
      <c r="F213">
        <f t="shared" si="36"/>
        <v>-5.0031062626132439E-3</v>
      </c>
      <c r="G213">
        <f t="shared" si="37"/>
        <v>-14.101269772739935</v>
      </c>
      <c r="H213" t="str">
        <f t="shared" si="38"/>
        <v>STOP</v>
      </c>
    </row>
    <row r="214" spans="1:8" x14ac:dyDescent="0.25">
      <c r="A214" t="s">
        <v>224</v>
      </c>
      <c r="B214" s="4">
        <f t="shared" si="33"/>
        <v>-14.101269772739935</v>
      </c>
      <c r="C214">
        <f t="shared" si="39"/>
        <v>0</v>
      </c>
      <c r="D214">
        <f t="shared" si="34"/>
        <v>-5.0031068177247562E-9</v>
      </c>
      <c r="E214">
        <f t="shared" si="35"/>
        <v>5.0031057075017316E-9</v>
      </c>
      <c r="F214">
        <f t="shared" si="36"/>
        <v>-5.0031062626132439E-3</v>
      </c>
      <c r="G214">
        <f t="shared" si="37"/>
        <v>-14.101269772739935</v>
      </c>
      <c r="H214" t="str">
        <f t="shared" si="38"/>
        <v>STOP</v>
      </c>
    </row>
    <row r="215" spans="1:8" x14ac:dyDescent="0.25">
      <c r="A215" t="s">
        <v>225</v>
      </c>
      <c r="B215" s="4">
        <f t="shared" si="33"/>
        <v>-14.101269772739935</v>
      </c>
      <c r="C215">
        <f t="shared" si="39"/>
        <v>0</v>
      </c>
      <c r="D215">
        <f t="shared" si="34"/>
        <v>-5.0031068177247562E-9</v>
      </c>
      <c r="E215">
        <f t="shared" si="35"/>
        <v>5.0031057075017316E-9</v>
      </c>
      <c r="F215">
        <f t="shared" si="36"/>
        <v>-5.0031062626132439E-3</v>
      </c>
      <c r="G215">
        <f t="shared" si="37"/>
        <v>-14.101269772739935</v>
      </c>
      <c r="H215" t="str">
        <f t="shared" si="38"/>
        <v>STOP</v>
      </c>
    </row>
    <row r="216" spans="1:8" x14ac:dyDescent="0.25">
      <c r="A216" t="s">
        <v>226</v>
      </c>
      <c r="B216" s="4">
        <f t="shared" si="33"/>
        <v>-14.101269772739935</v>
      </c>
      <c r="C216">
        <f t="shared" si="39"/>
        <v>0</v>
      </c>
      <c r="D216">
        <f t="shared" si="34"/>
        <v>-5.0031068177247562E-9</v>
      </c>
      <c r="E216">
        <f t="shared" si="35"/>
        <v>5.0031057075017316E-9</v>
      </c>
      <c r="F216">
        <f t="shared" si="36"/>
        <v>-5.0031062626132439E-3</v>
      </c>
      <c r="G216">
        <f t="shared" si="37"/>
        <v>-14.101269772739935</v>
      </c>
      <c r="H216" t="str">
        <f t="shared" si="38"/>
        <v>STOP</v>
      </c>
    </row>
    <row r="217" spans="1:8" x14ac:dyDescent="0.25">
      <c r="A217" t="s">
        <v>227</v>
      </c>
      <c r="B217" s="4">
        <f t="shared" si="33"/>
        <v>-14.101269772739935</v>
      </c>
      <c r="C217">
        <f t="shared" si="39"/>
        <v>0</v>
      </c>
      <c r="D217">
        <f t="shared" si="34"/>
        <v>-5.0031068177247562E-9</v>
      </c>
      <c r="E217">
        <f t="shared" si="35"/>
        <v>5.0031057075017316E-9</v>
      </c>
      <c r="F217">
        <f t="shared" si="36"/>
        <v>-5.0031062626132439E-3</v>
      </c>
      <c r="G217">
        <f t="shared" si="37"/>
        <v>-14.101269772739935</v>
      </c>
      <c r="H217" t="str">
        <f t="shared" si="38"/>
        <v>STOP</v>
      </c>
    </row>
    <row r="218" spans="1:8" x14ac:dyDescent="0.25">
      <c r="A218" t="s">
        <v>228</v>
      </c>
      <c r="B218" s="4">
        <f t="shared" si="33"/>
        <v>-14.101269772739935</v>
      </c>
      <c r="C218">
        <f t="shared" si="39"/>
        <v>0</v>
      </c>
      <c r="D218">
        <f t="shared" si="34"/>
        <v>-5.0031068177247562E-9</v>
      </c>
      <c r="E218">
        <f t="shared" si="35"/>
        <v>5.0031057075017316E-9</v>
      </c>
      <c r="F218">
        <f t="shared" si="36"/>
        <v>-5.0031062626132439E-3</v>
      </c>
      <c r="G218">
        <f t="shared" si="37"/>
        <v>-14.101269772739935</v>
      </c>
      <c r="H218" t="str">
        <f t="shared" si="38"/>
        <v>STOP</v>
      </c>
    </row>
    <row r="219" spans="1:8" x14ac:dyDescent="0.25">
      <c r="A219" t="s">
        <v>229</v>
      </c>
      <c r="B219" s="4">
        <f t="shared" si="33"/>
        <v>-14.101269772739935</v>
      </c>
      <c r="C219">
        <f t="shared" si="39"/>
        <v>0</v>
      </c>
      <c r="D219">
        <f t="shared" si="34"/>
        <v>-5.0031068177247562E-9</v>
      </c>
      <c r="E219">
        <f t="shared" si="35"/>
        <v>5.0031057075017316E-9</v>
      </c>
      <c r="F219">
        <f t="shared" si="36"/>
        <v>-5.0031062626132439E-3</v>
      </c>
      <c r="G219">
        <f t="shared" si="37"/>
        <v>-14.101269772739935</v>
      </c>
      <c r="H219" t="str">
        <f t="shared" si="38"/>
        <v>STOP</v>
      </c>
    </row>
    <row r="220" spans="1:8" x14ac:dyDescent="0.25">
      <c r="A220" t="s">
        <v>230</v>
      </c>
      <c r="B220" s="4">
        <f t="shared" si="33"/>
        <v>-14.101269772739935</v>
      </c>
      <c r="C220">
        <f t="shared" si="39"/>
        <v>0</v>
      </c>
      <c r="D220">
        <f t="shared" si="34"/>
        <v>-5.0031068177247562E-9</v>
      </c>
      <c r="E220">
        <f t="shared" si="35"/>
        <v>5.0031057075017316E-9</v>
      </c>
      <c r="F220">
        <f t="shared" si="36"/>
        <v>-5.0031062626132439E-3</v>
      </c>
      <c r="G220">
        <f t="shared" si="37"/>
        <v>-14.101269772739935</v>
      </c>
      <c r="H220" t="str">
        <f t="shared" si="38"/>
        <v>STOP</v>
      </c>
    </row>
    <row r="221" spans="1:8" x14ac:dyDescent="0.25">
      <c r="A221" t="s">
        <v>231</v>
      </c>
      <c r="B221" s="4">
        <f t="shared" si="33"/>
        <v>-14.101269772739935</v>
      </c>
      <c r="C221">
        <f t="shared" si="39"/>
        <v>0</v>
      </c>
      <c r="D221">
        <f t="shared" si="34"/>
        <v>-5.0031068177247562E-9</v>
      </c>
      <c r="E221">
        <f t="shared" si="35"/>
        <v>5.0031057075017316E-9</v>
      </c>
      <c r="F221">
        <f t="shared" si="36"/>
        <v>-5.0031062626132439E-3</v>
      </c>
      <c r="G221">
        <f t="shared" si="37"/>
        <v>-14.101269772739935</v>
      </c>
      <c r="H221" t="str">
        <f t="shared" si="38"/>
        <v>STOP</v>
      </c>
    </row>
    <row r="222" spans="1:8" x14ac:dyDescent="0.25">
      <c r="A222" t="s">
        <v>232</v>
      </c>
      <c r="B222" s="4">
        <f t="shared" si="33"/>
        <v>-14.101269772739935</v>
      </c>
      <c r="C222">
        <f t="shared" si="39"/>
        <v>0</v>
      </c>
      <c r="D222">
        <f t="shared" si="34"/>
        <v>-5.0031068177247562E-9</v>
      </c>
      <c r="E222">
        <f t="shared" si="35"/>
        <v>5.0031057075017316E-9</v>
      </c>
      <c r="F222">
        <f t="shared" si="36"/>
        <v>-5.0031062626132439E-3</v>
      </c>
      <c r="G222">
        <f t="shared" si="37"/>
        <v>-14.101269772739935</v>
      </c>
      <c r="H222" t="str">
        <f t="shared" si="38"/>
        <v>STOP</v>
      </c>
    </row>
    <row r="223" spans="1:8" x14ac:dyDescent="0.25">
      <c r="A223" t="s">
        <v>233</v>
      </c>
      <c r="B223" s="4">
        <f t="shared" si="33"/>
        <v>-14.101269772739935</v>
      </c>
      <c r="C223">
        <f t="shared" si="39"/>
        <v>0</v>
      </c>
      <c r="D223">
        <f t="shared" si="34"/>
        <v>-5.0031068177247562E-9</v>
      </c>
      <c r="E223">
        <f t="shared" si="35"/>
        <v>5.0031057075017316E-9</v>
      </c>
      <c r="F223">
        <f t="shared" si="36"/>
        <v>-5.0031062626132439E-3</v>
      </c>
      <c r="G223">
        <f t="shared" si="37"/>
        <v>-14.101269772739935</v>
      </c>
      <c r="H223" t="str">
        <f t="shared" si="38"/>
        <v>STOP</v>
      </c>
    </row>
    <row r="224" spans="1:8" x14ac:dyDescent="0.25">
      <c r="A224" t="s">
        <v>234</v>
      </c>
      <c r="B224" s="4">
        <f t="shared" si="33"/>
        <v>-14.101269772739935</v>
      </c>
      <c r="C224">
        <f t="shared" si="39"/>
        <v>0</v>
      </c>
      <c r="D224">
        <f t="shared" si="34"/>
        <v>-5.0031068177247562E-9</v>
      </c>
      <c r="E224">
        <f t="shared" si="35"/>
        <v>5.0031057075017316E-9</v>
      </c>
      <c r="F224">
        <f t="shared" si="36"/>
        <v>-5.0031062626132439E-3</v>
      </c>
      <c r="G224">
        <f t="shared" si="37"/>
        <v>-14.101269772739935</v>
      </c>
      <c r="H224" t="str">
        <f t="shared" si="38"/>
        <v>STOP</v>
      </c>
    </row>
    <row r="225" spans="1:8" x14ac:dyDescent="0.25">
      <c r="A225" t="s">
        <v>235</v>
      </c>
      <c r="B225" s="4">
        <f t="shared" si="33"/>
        <v>-14.101269772739935</v>
      </c>
      <c r="C225">
        <f t="shared" si="39"/>
        <v>0</v>
      </c>
      <c r="D225">
        <f t="shared" si="34"/>
        <v>-5.0031068177247562E-9</v>
      </c>
      <c r="E225">
        <f t="shared" si="35"/>
        <v>5.0031057075017316E-9</v>
      </c>
      <c r="F225">
        <f t="shared" si="36"/>
        <v>-5.0031062626132439E-3</v>
      </c>
      <c r="G225">
        <f t="shared" si="37"/>
        <v>-14.101269772739935</v>
      </c>
      <c r="H225" t="str">
        <f t="shared" si="38"/>
        <v>STOP</v>
      </c>
    </row>
    <row r="226" spans="1:8" x14ac:dyDescent="0.25">
      <c r="A226" t="s">
        <v>236</v>
      </c>
      <c r="B226" s="4">
        <f t="shared" si="33"/>
        <v>-14.101269772739935</v>
      </c>
      <c r="C226">
        <f t="shared" si="39"/>
        <v>0</v>
      </c>
      <c r="D226">
        <f t="shared" si="34"/>
        <v>-5.0031068177247562E-9</v>
      </c>
      <c r="E226">
        <f t="shared" si="35"/>
        <v>5.0031057075017316E-9</v>
      </c>
      <c r="F226">
        <f t="shared" si="36"/>
        <v>-5.0031062626132439E-3</v>
      </c>
      <c r="G226">
        <f t="shared" si="37"/>
        <v>-14.101269772739935</v>
      </c>
      <c r="H226" t="str">
        <f t="shared" si="38"/>
        <v>STOP</v>
      </c>
    </row>
    <row r="227" spans="1:8" x14ac:dyDescent="0.25">
      <c r="A227" t="s">
        <v>237</v>
      </c>
      <c r="B227" s="4">
        <f t="shared" si="33"/>
        <v>-14.101269772739935</v>
      </c>
      <c r="C227">
        <f t="shared" si="39"/>
        <v>0</v>
      </c>
      <c r="D227">
        <f t="shared" si="34"/>
        <v>-5.0031068177247562E-9</v>
      </c>
      <c r="E227">
        <f t="shared" si="35"/>
        <v>5.0031057075017316E-9</v>
      </c>
      <c r="F227">
        <f t="shared" si="36"/>
        <v>-5.0031062626132439E-3</v>
      </c>
      <c r="G227">
        <f t="shared" si="37"/>
        <v>-14.101269772739935</v>
      </c>
      <c r="H227" t="str">
        <f t="shared" si="38"/>
        <v>STOP</v>
      </c>
    </row>
    <row r="228" spans="1:8" x14ac:dyDescent="0.25">
      <c r="A228" t="s">
        <v>238</v>
      </c>
      <c r="B228" s="4">
        <f t="shared" ref="B228:B244" si="40">G227</f>
        <v>-14.101269772739935</v>
      </c>
      <c r="C228">
        <f t="shared" si="39"/>
        <v>0</v>
      </c>
      <c r="D228">
        <f t="shared" ref="D228:D244" si="41">EXP(B228+E$3)-ATAN(B228+E$3)-1.5</f>
        <v>-5.0031068177247562E-9</v>
      </c>
      <c r="E228">
        <f t="shared" ref="E228:E244" si="42">EXP(B228-E$3)-ATAN(B228-E$3)-1.5</f>
        <v>5.0031057075017316E-9</v>
      </c>
      <c r="F228">
        <f t="shared" ref="F228:F244" si="43">(D228-E228)/(E$3*2)</f>
        <v>-5.0031062626132439E-3</v>
      </c>
      <c r="G228">
        <f t="shared" ref="G228:G244" si="44">B228-C228/F228</f>
        <v>-14.101269772739935</v>
      </c>
      <c r="H228" t="str">
        <f t="shared" ref="H228:H244" si="45">IF(B229=B228,"STOP","")</f>
        <v>STOP</v>
      </c>
    </row>
    <row r="229" spans="1:8" x14ac:dyDescent="0.25">
      <c r="A229" t="s">
        <v>239</v>
      </c>
      <c r="B229" s="4">
        <f t="shared" si="40"/>
        <v>-14.101269772739935</v>
      </c>
      <c r="C229">
        <f t="shared" si="39"/>
        <v>0</v>
      </c>
      <c r="D229">
        <f t="shared" si="41"/>
        <v>-5.0031068177247562E-9</v>
      </c>
      <c r="E229">
        <f t="shared" si="42"/>
        <v>5.0031057075017316E-9</v>
      </c>
      <c r="F229">
        <f t="shared" si="43"/>
        <v>-5.0031062626132439E-3</v>
      </c>
      <c r="G229">
        <f t="shared" si="44"/>
        <v>-14.101269772739935</v>
      </c>
      <c r="H229" t="str">
        <f t="shared" si="45"/>
        <v>STOP</v>
      </c>
    </row>
    <row r="230" spans="1:8" x14ac:dyDescent="0.25">
      <c r="A230" t="s">
        <v>240</v>
      </c>
      <c r="B230" s="4">
        <f t="shared" si="40"/>
        <v>-14.101269772739935</v>
      </c>
      <c r="C230">
        <f t="shared" si="39"/>
        <v>0</v>
      </c>
      <c r="D230">
        <f t="shared" si="41"/>
        <v>-5.0031068177247562E-9</v>
      </c>
      <c r="E230">
        <f t="shared" si="42"/>
        <v>5.0031057075017316E-9</v>
      </c>
      <c r="F230">
        <f t="shared" si="43"/>
        <v>-5.0031062626132439E-3</v>
      </c>
      <c r="G230">
        <f t="shared" si="44"/>
        <v>-14.101269772739935</v>
      </c>
      <c r="H230" t="str">
        <f t="shared" si="45"/>
        <v>STOP</v>
      </c>
    </row>
    <row r="231" spans="1:8" x14ac:dyDescent="0.25">
      <c r="A231" t="s">
        <v>241</v>
      </c>
      <c r="B231" s="4">
        <f t="shared" si="40"/>
        <v>-14.101269772739935</v>
      </c>
      <c r="C231">
        <f t="shared" si="39"/>
        <v>0</v>
      </c>
      <c r="D231">
        <f t="shared" si="41"/>
        <v>-5.0031068177247562E-9</v>
      </c>
      <c r="E231">
        <f t="shared" si="42"/>
        <v>5.0031057075017316E-9</v>
      </c>
      <c r="F231">
        <f t="shared" si="43"/>
        <v>-5.0031062626132439E-3</v>
      </c>
      <c r="G231">
        <f t="shared" si="44"/>
        <v>-14.101269772739935</v>
      </c>
      <c r="H231" t="str">
        <f t="shared" si="45"/>
        <v>STOP</v>
      </c>
    </row>
    <row r="232" spans="1:8" x14ac:dyDescent="0.25">
      <c r="A232" t="s">
        <v>242</v>
      </c>
      <c r="B232" s="4">
        <f t="shared" si="40"/>
        <v>-14.101269772739935</v>
      </c>
      <c r="C232">
        <f t="shared" si="39"/>
        <v>0</v>
      </c>
      <c r="D232">
        <f t="shared" si="41"/>
        <v>-5.0031068177247562E-9</v>
      </c>
      <c r="E232">
        <f t="shared" si="42"/>
        <v>5.0031057075017316E-9</v>
      </c>
      <c r="F232">
        <f t="shared" si="43"/>
        <v>-5.0031062626132439E-3</v>
      </c>
      <c r="G232">
        <f t="shared" si="44"/>
        <v>-14.101269772739935</v>
      </c>
      <c r="H232" t="str">
        <f t="shared" si="45"/>
        <v>STOP</v>
      </c>
    </row>
    <row r="233" spans="1:8" x14ac:dyDescent="0.25">
      <c r="A233" t="s">
        <v>243</v>
      </c>
      <c r="B233" s="4">
        <f t="shared" si="40"/>
        <v>-14.101269772739935</v>
      </c>
      <c r="C233">
        <f t="shared" si="39"/>
        <v>0</v>
      </c>
      <c r="D233">
        <f t="shared" si="41"/>
        <v>-5.0031068177247562E-9</v>
      </c>
      <c r="E233">
        <f t="shared" si="42"/>
        <v>5.0031057075017316E-9</v>
      </c>
      <c r="F233">
        <f t="shared" si="43"/>
        <v>-5.0031062626132439E-3</v>
      </c>
      <c r="G233">
        <f t="shared" si="44"/>
        <v>-14.101269772739935</v>
      </c>
      <c r="H233" t="str">
        <f t="shared" si="45"/>
        <v>STOP</v>
      </c>
    </row>
    <row r="234" spans="1:8" x14ac:dyDescent="0.25">
      <c r="A234" t="s">
        <v>244</v>
      </c>
      <c r="B234" s="4">
        <f t="shared" si="40"/>
        <v>-14.101269772739935</v>
      </c>
      <c r="C234">
        <f t="shared" si="39"/>
        <v>0</v>
      </c>
      <c r="D234">
        <f t="shared" si="41"/>
        <v>-5.0031068177247562E-9</v>
      </c>
      <c r="E234">
        <f t="shared" si="42"/>
        <v>5.0031057075017316E-9</v>
      </c>
      <c r="F234">
        <f t="shared" si="43"/>
        <v>-5.0031062626132439E-3</v>
      </c>
      <c r="G234">
        <f t="shared" si="44"/>
        <v>-14.101269772739935</v>
      </c>
      <c r="H234" t="str">
        <f t="shared" si="45"/>
        <v>STOP</v>
      </c>
    </row>
    <row r="235" spans="1:8" x14ac:dyDescent="0.25">
      <c r="A235" t="s">
        <v>245</v>
      </c>
      <c r="B235" s="4">
        <f t="shared" si="40"/>
        <v>-14.101269772739935</v>
      </c>
      <c r="C235">
        <f t="shared" si="39"/>
        <v>0</v>
      </c>
      <c r="D235">
        <f t="shared" si="41"/>
        <v>-5.0031068177247562E-9</v>
      </c>
      <c r="E235">
        <f t="shared" si="42"/>
        <v>5.0031057075017316E-9</v>
      </c>
      <c r="F235">
        <f t="shared" si="43"/>
        <v>-5.0031062626132439E-3</v>
      </c>
      <c r="G235">
        <f t="shared" si="44"/>
        <v>-14.101269772739935</v>
      </c>
      <c r="H235" t="str">
        <f t="shared" si="45"/>
        <v>STOP</v>
      </c>
    </row>
    <row r="236" spans="1:8" x14ac:dyDescent="0.25">
      <c r="A236" t="s">
        <v>246</v>
      </c>
      <c r="B236" s="4">
        <f t="shared" si="40"/>
        <v>-14.101269772739935</v>
      </c>
      <c r="C236">
        <f t="shared" si="39"/>
        <v>0</v>
      </c>
      <c r="D236">
        <f t="shared" si="41"/>
        <v>-5.0031068177247562E-9</v>
      </c>
      <c r="E236">
        <f t="shared" si="42"/>
        <v>5.0031057075017316E-9</v>
      </c>
      <c r="F236">
        <f t="shared" si="43"/>
        <v>-5.0031062626132439E-3</v>
      </c>
      <c r="G236">
        <f t="shared" si="44"/>
        <v>-14.101269772739935</v>
      </c>
      <c r="H236" t="str">
        <f t="shared" si="45"/>
        <v>STOP</v>
      </c>
    </row>
    <row r="237" spans="1:8" x14ac:dyDescent="0.25">
      <c r="A237" t="s">
        <v>247</v>
      </c>
      <c r="B237" s="4">
        <f t="shared" si="40"/>
        <v>-14.101269772739935</v>
      </c>
      <c r="C237">
        <f t="shared" si="39"/>
        <v>0</v>
      </c>
      <c r="D237">
        <f t="shared" si="41"/>
        <v>-5.0031068177247562E-9</v>
      </c>
      <c r="E237">
        <f t="shared" si="42"/>
        <v>5.0031057075017316E-9</v>
      </c>
      <c r="F237">
        <f t="shared" si="43"/>
        <v>-5.0031062626132439E-3</v>
      </c>
      <c r="G237">
        <f t="shared" si="44"/>
        <v>-14.101269772739935</v>
      </c>
      <c r="H237" t="str">
        <f t="shared" si="45"/>
        <v>STOP</v>
      </c>
    </row>
    <row r="238" spans="1:8" x14ac:dyDescent="0.25">
      <c r="A238" t="s">
        <v>248</v>
      </c>
      <c r="B238" s="4">
        <f t="shared" si="40"/>
        <v>-14.101269772739935</v>
      </c>
      <c r="C238">
        <f t="shared" si="39"/>
        <v>0</v>
      </c>
      <c r="D238">
        <f t="shared" si="41"/>
        <v>-5.0031068177247562E-9</v>
      </c>
      <c r="E238">
        <f t="shared" si="42"/>
        <v>5.0031057075017316E-9</v>
      </c>
      <c r="F238">
        <f t="shared" si="43"/>
        <v>-5.0031062626132439E-3</v>
      </c>
      <c r="G238">
        <f t="shared" si="44"/>
        <v>-14.101269772739935</v>
      </c>
      <c r="H238" t="str">
        <f t="shared" si="45"/>
        <v>STOP</v>
      </c>
    </row>
    <row r="239" spans="1:8" x14ac:dyDescent="0.25">
      <c r="A239" t="s">
        <v>249</v>
      </c>
      <c r="B239" s="4">
        <f t="shared" si="40"/>
        <v>-14.101269772739935</v>
      </c>
      <c r="C239">
        <f t="shared" si="39"/>
        <v>0</v>
      </c>
      <c r="D239">
        <f t="shared" si="41"/>
        <v>-5.0031068177247562E-9</v>
      </c>
      <c r="E239">
        <f t="shared" si="42"/>
        <v>5.0031057075017316E-9</v>
      </c>
      <c r="F239">
        <f t="shared" si="43"/>
        <v>-5.0031062626132439E-3</v>
      </c>
      <c r="G239">
        <f t="shared" si="44"/>
        <v>-14.101269772739935</v>
      </c>
      <c r="H239" t="str">
        <f t="shared" si="45"/>
        <v>STOP</v>
      </c>
    </row>
    <row r="240" spans="1:8" x14ac:dyDescent="0.25">
      <c r="A240" t="s">
        <v>250</v>
      </c>
      <c r="B240" s="4">
        <f t="shared" si="40"/>
        <v>-14.101269772739935</v>
      </c>
      <c r="C240">
        <f t="shared" si="39"/>
        <v>0</v>
      </c>
      <c r="D240">
        <f t="shared" si="41"/>
        <v>-5.0031068177247562E-9</v>
      </c>
      <c r="E240">
        <f t="shared" si="42"/>
        <v>5.0031057075017316E-9</v>
      </c>
      <c r="F240">
        <f t="shared" si="43"/>
        <v>-5.0031062626132439E-3</v>
      </c>
      <c r="G240">
        <f t="shared" si="44"/>
        <v>-14.101269772739935</v>
      </c>
      <c r="H240" t="str">
        <f t="shared" si="45"/>
        <v>STOP</v>
      </c>
    </row>
    <row r="241" spans="1:8" x14ac:dyDescent="0.25">
      <c r="A241" t="s">
        <v>251</v>
      </c>
      <c r="B241" s="4">
        <f t="shared" si="40"/>
        <v>-14.101269772739935</v>
      </c>
      <c r="C241">
        <f t="shared" si="39"/>
        <v>0</v>
      </c>
      <c r="D241">
        <f t="shared" si="41"/>
        <v>-5.0031068177247562E-9</v>
      </c>
      <c r="E241">
        <f t="shared" si="42"/>
        <v>5.0031057075017316E-9</v>
      </c>
      <c r="F241">
        <f t="shared" si="43"/>
        <v>-5.0031062626132439E-3</v>
      </c>
      <c r="G241">
        <f t="shared" si="44"/>
        <v>-14.101269772739935</v>
      </c>
      <c r="H241" t="str">
        <f t="shared" si="45"/>
        <v>STOP</v>
      </c>
    </row>
    <row r="242" spans="1:8" x14ac:dyDescent="0.25">
      <c r="A242" t="s">
        <v>252</v>
      </c>
      <c r="B242" s="4">
        <f t="shared" si="40"/>
        <v>-14.101269772739935</v>
      </c>
      <c r="C242">
        <f t="shared" si="39"/>
        <v>0</v>
      </c>
      <c r="D242">
        <f t="shared" si="41"/>
        <v>-5.0031068177247562E-9</v>
      </c>
      <c r="E242">
        <f t="shared" si="42"/>
        <v>5.0031057075017316E-9</v>
      </c>
      <c r="F242">
        <f t="shared" si="43"/>
        <v>-5.0031062626132439E-3</v>
      </c>
      <c r="G242">
        <f t="shared" si="44"/>
        <v>-14.101269772739935</v>
      </c>
      <c r="H242" t="str">
        <f t="shared" si="45"/>
        <v>STOP</v>
      </c>
    </row>
    <row r="243" spans="1:8" x14ac:dyDescent="0.25">
      <c r="A243" t="s">
        <v>253</v>
      </c>
      <c r="B243" s="4">
        <f t="shared" si="40"/>
        <v>-14.101269772739935</v>
      </c>
      <c r="C243">
        <f t="shared" si="39"/>
        <v>0</v>
      </c>
      <c r="D243">
        <f t="shared" si="41"/>
        <v>-5.0031068177247562E-9</v>
      </c>
      <c r="E243">
        <f t="shared" si="42"/>
        <v>5.0031057075017316E-9</v>
      </c>
      <c r="F243">
        <f t="shared" si="43"/>
        <v>-5.0031062626132439E-3</v>
      </c>
      <c r="G243">
        <f t="shared" si="44"/>
        <v>-14.101269772739935</v>
      </c>
      <c r="H243" t="str">
        <f t="shared" si="45"/>
        <v>STOP</v>
      </c>
    </row>
    <row r="244" spans="1:8" x14ac:dyDescent="0.25">
      <c r="A244" t="s">
        <v>254</v>
      </c>
      <c r="B244" s="4">
        <f t="shared" si="40"/>
        <v>-14.101269772739935</v>
      </c>
      <c r="C244">
        <f t="shared" si="39"/>
        <v>0</v>
      </c>
      <c r="D244">
        <f t="shared" si="41"/>
        <v>-5.0031068177247562E-9</v>
      </c>
      <c r="E244">
        <f t="shared" si="42"/>
        <v>5.0031057075017316E-9</v>
      </c>
      <c r="F244">
        <f t="shared" si="43"/>
        <v>-5.0031062626132439E-3</v>
      </c>
      <c r="G244">
        <f t="shared" si="44"/>
        <v>-14.101269772739935</v>
      </c>
      <c r="H244" t="str">
        <f t="shared" si="45"/>
        <v/>
      </c>
    </row>
  </sheetData>
  <sortState xmlns:xlrd2="http://schemas.microsoft.com/office/spreadsheetml/2017/richdata2" ref="N4:O27">
    <sortCondition ref="N3:N27"/>
  </sortState>
  <mergeCells count="2">
    <mergeCell ref="A1:G1"/>
    <mergeCell ref="J4:K4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AC30-7617-4A57-B2B5-4DAA1425B8B1}">
  <dimension ref="A1:AL766"/>
  <sheetViews>
    <sheetView tabSelected="1" workbookViewId="0">
      <selection activeCell="AF7" sqref="AF7"/>
    </sheetView>
  </sheetViews>
  <sheetFormatPr defaultRowHeight="15" x14ac:dyDescent="0.25"/>
  <cols>
    <col min="1" max="1" width="11.42578125" customWidth="1"/>
    <col min="2" max="2" width="14.42578125" bestFit="1" customWidth="1"/>
    <col min="3" max="4" width="12" bestFit="1" customWidth="1"/>
    <col min="5" max="5" width="12.7109375" bestFit="1" customWidth="1"/>
    <col min="6" max="7" width="12" bestFit="1" customWidth="1"/>
    <col min="8" max="8" width="15.28515625" bestFit="1" customWidth="1"/>
    <col min="9" max="9" width="17.5703125" bestFit="1" customWidth="1"/>
    <col min="10" max="10" width="17" bestFit="1" customWidth="1"/>
    <col min="11" max="11" width="21.5703125" bestFit="1" customWidth="1"/>
    <col min="13" max="13" width="11.7109375" bestFit="1" customWidth="1"/>
    <col min="14" max="14" width="14" bestFit="1" customWidth="1"/>
    <col min="15" max="15" width="24.5703125" bestFit="1" customWidth="1"/>
    <col min="16" max="16" width="12.7109375" bestFit="1" customWidth="1"/>
    <col min="17" max="17" width="12" bestFit="1" customWidth="1"/>
    <col min="18" max="19" width="12.7109375" bestFit="1" customWidth="1"/>
    <col min="20" max="20" width="15.28515625" bestFit="1" customWidth="1"/>
    <col min="22" max="22" width="11.7109375" bestFit="1" customWidth="1"/>
    <col min="23" max="23" width="14.42578125" bestFit="1" customWidth="1"/>
    <col min="24" max="24" width="12.7109375" bestFit="1" customWidth="1"/>
    <col min="25" max="25" width="12" bestFit="1" customWidth="1"/>
    <col min="26" max="28" width="12.7109375" bestFit="1" customWidth="1"/>
    <col min="29" max="29" width="15.28515625" bestFit="1" customWidth="1"/>
    <col min="30" max="30" width="17.5703125" bestFit="1" customWidth="1"/>
    <col min="31" max="31" width="17" bestFit="1" customWidth="1"/>
    <col min="32" max="32" width="14.42578125" bestFit="1" customWidth="1"/>
    <col min="38" max="38" width="15.28515625" bestFit="1" customWidth="1"/>
  </cols>
  <sheetData>
    <row r="1" spans="1:38" ht="15" customHeight="1" x14ac:dyDescent="0.25">
      <c r="A1" s="31" t="s">
        <v>255</v>
      </c>
      <c r="B1" s="31"/>
      <c r="C1" s="31"/>
      <c r="D1" s="31"/>
      <c r="E1" s="31"/>
      <c r="F1" s="31"/>
      <c r="G1" s="31"/>
      <c r="H1" s="31"/>
      <c r="I1" s="31"/>
      <c r="J1" s="31"/>
      <c r="K1" s="26"/>
      <c r="L1" s="26"/>
    </row>
    <row r="2" spans="1:38" x14ac:dyDescent="0.25">
      <c r="A2" s="27"/>
      <c r="B2" s="27"/>
      <c r="C2" s="27"/>
      <c r="D2" s="27"/>
      <c r="E2" s="19"/>
      <c r="G2" s="26"/>
      <c r="H2" s="26"/>
      <c r="I2" s="26"/>
      <c r="J2" s="26"/>
      <c r="K2" s="26"/>
      <c r="L2" s="26"/>
      <c r="Y2" s="1"/>
      <c r="Z2" s="1"/>
    </row>
    <row r="3" spans="1:38" x14ac:dyDescent="0.25">
      <c r="A3" s="27"/>
      <c r="B3" s="27"/>
      <c r="C3" s="27"/>
      <c r="D3" s="27"/>
      <c r="E3" s="19"/>
      <c r="G3" s="26"/>
      <c r="H3" s="26"/>
      <c r="I3" s="26"/>
      <c r="J3" s="26"/>
      <c r="K3" s="26"/>
      <c r="L3" s="26"/>
      <c r="V3" t="s">
        <v>204</v>
      </c>
      <c r="W3" s="12">
        <f>W14</f>
        <v>-14.101269772739954</v>
      </c>
      <c r="AE3" t="s">
        <v>204</v>
      </c>
      <c r="AF3" s="12" cm="1">
        <f t="array" aca="1" ref="AF3" ca="1">INDIRECT(_xlfn.TEXTBEFORE(ADDRESS(1,COLUMN(AF2),2),"$")&amp;MATCH("STOP",AL:AL,0),1)</f>
        <v>0.76765326620127894</v>
      </c>
    </row>
    <row r="4" spans="1:38" x14ac:dyDescent="0.25">
      <c r="A4" s="27"/>
      <c r="B4" s="27"/>
      <c r="C4" s="27"/>
      <c r="D4" s="27"/>
      <c r="G4" s="26"/>
      <c r="H4" s="26"/>
      <c r="I4" s="26"/>
      <c r="J4" s="26"/>
      <c r="K4" s="26"/>
      <c r="L4" s="26"/>
      <c r="W4" s="3" t="s">
        <v>205</v>
      </c>
      <c r="X4" s="2" t="s">
        <v>8</v>
      </c>
      <c r="Y4" s="2" t="s">
        <v>7</v>
      </c>
      <c r="Z4" s="2" t="s">
        <v>9</v>
      </c>
      <c r="AA4" s="2" t="s">
        <v>10</v>
      </c>
      <c r="AB4" s="2" t="s">
        <v>11</v>
      </c>
      <c r="AC4" s="2" t="s">
        <v>12</v>
      </c>
      <c r="AF4" s="3" t="s">
        <v>205</v>
      </c>
      <c r="AG4" s="2" t="s">
        <v>8</v>
      </c>
      <c r="AH4" s="2" t="s">
        <v>7</v>
      </c>
      <c r="AI4" s="2" t="s">
        <v>9</v>
      </c>
      <c r="AJ4" s="2" t="s">
        <v>10</v>
      </c>
      <c r="AK4" s="2" t="s">
        <v>11</v>
      </c>
      <c r="AL4" s="2" t="s">
        <v>12</v>
      </c>
    </row>
    <row r="5" spans="1:38" ht="15.75" thickBot="1" x14ac:dyDescent="0.3">
      <c r="G5" s="26"/>
      <c r="H5" s="26"/>
      <c r="I5" s="26"/>
      <c r="J5" s="26"/>
      <c r="K5" s="26"/>
      <c r="L5" s="26"/>
      <c r="V5" t="s">
        <v>1</v>
      </c>
      <c r="W5">
        <v>-0.02</v>
      </c>
      <c r="X5">
        <f t="shared" ref="X5:X15" si="0">EXP(W5)-ATAN(W5)-1.5</f>
        <v>-0.49980399272009413</v>
      </c>
      <c r="Y5">
        <f>EXP(W5+E$6)-ATAN(W5+E$6)-1.5</f>
        <v>-0.4998040121211107</v>
      </c>
      <c r="Z5">
        <f>EXP(W5-E$6)-ATAN(W5-E$6)-1.5</f>
        <v>-0.49980397331813742</v>
      </c>
      <c r="AA5">
        <f>(Y5-Z5)/(E$6*2)</f>
        <v>-1.9401486639480936E-2</v>
      </c>
      <c r="AB5">
        <f t="shared" ref="AB5:AB15" si="1">W5-X5/AA5</f>
        <v>-25.781118310543331</v>
      </c>
      <c r="AC5" t="str">
        <f t="shared" ref="AC5:AC15" si="2">IF(W6=W5,"STOP","")</f>
        <v/>
      </c>
      <c r="AE5" t="s">
        <v>1</v>
      </c>
      <c r="AF5">
        <v>-115.24</v>
      </c>
      <c r="AG5">
        <f t="shared" ref="AG5:AG15" si="3">EXP(AF5)-ATAN(AF5)-1.5</f>
        <v>6.2119002070675666E-2</v>
      </c>
      <c r="AH5">
        <f>EXP(AF5+E$6)-ATAN(AF5+E$6)-1.5</f>
        <v>6.2119001995381673E-2</v>
      </c>
      <c r="AI5">
        <f>EXP(AF5-E$6)-ATAN(AF5-E$6)-1.5</f>
        <v>6.211900214596966E-2</v>
      </c>
      <c r="AJ5">
        <f>(AH5-AI5)/(E$6*2)</f>
        <v>-7.5293993262448566E-5</v>
      </c>
      <c r="AK5">
        <f t="shared" ref="AK5:AK15" si="4">AF5-AG5/AJ5</f>
        <v>709.77935916920376</v>
      </c>
      <c r="AL5" t="str">
        <f t="shared" ref="AL5:AL15" si="5">IF(AF6=AF5,"STOP","")</f>
        <v/>
      </c>
    </row>
    <row r="6" spans="1:38" ht="15.75" thickBot="1" x14ac:dyDescent="0.3">
      <c r="D6" s="5" t="s">
        <v>74</v>
      </c>
      <c r="E6" s="6">
        <v>9.9999999999999995E-7</v>
      </c>
      <c r="V6" t="s">
        <v>2</v>
      </c>
      <c r="W6">
        <f t="shared" ref="W6:W15" si="6">AB5</f>
        <v>-25.781118310543331</v>
      </c>
      <c r="X6">
        <f t="shared" si="0"/>
        <v>3.2027684757979458E-2</v>
      </c>
      <c r="Y6">
        <f t="shared" ref="Y6:Y15" si="7">EXP(W6+E$6)-ATAN(W6+E$6)-1.5</f>
        <v>3.2027683255724693E-2</v>
      </c>
      <c r="Z6">
        <f t="shared" ref="Z6:Z15" si="8">EXP(W6-E$6)-ATAN(W6-E$6)-1.5</f>
        <v>3.2027686260234001E-2</v>
      </c>
      <c r="AA6">
        <f t="shared" ref="AA6:AA15" si="9">(Y6-Z6)/(E$6*2)</f>
        <v>-1.5022546540066628E-3</v>
      </c>
      <c r="AB6">
        <f t="shared" si="1"/>
        <v>-4.4613742361559225</v>
      </c>
      <c r="AC6" t="str">
        <f t="shared" si="2"/>
        <v/>
      </c>
      <c r="AE6" t="s">
        <v>2</v>
      </c>
      <c r="AF6">
        <f t="shared" ref="AF6:AF15" si="10">AK5</f>
        <v>709.77935916920376</v>
      </c>
      <c r="AG6">
        <f t="shared" si="3"/>
        <v>1.7916742663810775E+308</v>
      </c>
      <c r="AH6">
        <f t="shared" ref="AH6:AH15" si="11">EXP(AF6+E$6)-ATAN(AF6+E$6)-1.5</f>
        <v>1.7916760580562352E+308</v>
      </c>
      <c r="AI6">
        <f t="shared" ref="AI6:AI15" si="12">EXP(AF6-E$6)-ATAN(AF6-E$6)-1.5</f>
        <v>1.7916724747077115E+308</v>
      </c>
      <c r="AJ6">
        <f t="shared" ref="AJ6:AJ15" si="13">(AH6-AI6)/(E$6*2)</f>
        <v>1.7916742618289432E+308</v>
      </c>
      <c r="AK6">
        <f t="shared" si="4"/>
        <v>708.77935916666308</v>
      </c>
      <c r="AL6" t="str">
        <f t="shared" si="5"/>
        <v/>
      </c>
    </row>
    <row r="7" spans="1:38" x14ac:dyDescent="0.25">
      <c r="A7" t="s">
        <v>204</v>
      </c>
      <c r="B7" s="12" cm="1">
        <f t="array" aca="1" ref="B7" ca="1">INDIRECT(_xlfn.TEXTBEFORE(ADDRESS(1,COLUMN(B6),2),"$")&amp;MATCH("STOP",H:H,0),1)</f>
        <v>0.76765326620127894</v>
      </c>
      <c r="N7" s="10" t="s">
        <v>207</v>
      </c>
      <c r="O7" s="10" t="s">
        <v>257</v>
      </c>
      <c r="V7" t="s">
        <v>3</v>
      </c>
      <c r="W7">
        <f t="shared" si="6"/>
        <v>-4.4613742361559225</v>
      </c>
      <c r="X7">
        <f t="shared" si="0"/>
        <v>-0.13815880573654948</v>
      </c>
      <c r="Y7">
        <f t="shared" si="7"/>
        <v>-0.1381588420281239</v>
      </c>
      <c r="Z7">
        <f t="shared" si="8"/>
        <v>-0.13815876944498418</v>
      </c>
      <c r="AA7">
        <f t="shared" si="9"/>
        <v>-3.6291569860402717E-2</v>
      </c>
      <c r="AB7">
        <f t="shared" si="1"/>
        <v>-8.2682860415141377</v>
      </c>
      <c r="AC7" t="str">
        <f t="shared" si="2"/>
        <v/>
      </c>
      <c r="AE7" t="s">
        <v>3</v>
      </c>
      <c r="AF7">
        <f t="shared" si="10"/>
        <v>708.77935916666308</v>
      </c>
      <c r="AG7">
        <f t="shared" si="3"/>
        <v>6.5912012620291574E+307</v>
      </c>
      <c r="AH7">
        <f t="shared" si="11"/>
        <v>6.5912078532336977E+307</v>
      </c>
      <c r="AI7">
        <f t="shared" si="12"/>
        <v>6.5911946708312074E+307</v>
      </c>
      <c r="AJ7">
        <f t="shared" si="13"/>
        <v>6.5912012451592932E+307</v>
      </c>
      <c r="AK7">
        <f t="shared" si="4"/>
        <v>707.77935916410365</v>
      </c>
      <c r="AL7" t="str">
        <f t="shared" si="5"/>
        <v/>
      </c>
    </row>
    <row r="8" spans="1:38" x14ac:dyDescent="0.25">
      <c r="B8" s="3" t="s">
        <v>205</v>
      </c>
      <c r="C8" s="2" t="s">
        <v>8</v>
      </c>
      <c r="D8" s="2" t="s">
        <v>7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6</v>
      </c>
      <c r="J8" s="2" t="s">
        <v>256</v>
      </c>
      <c r="K8" s="2" t="s">
        <v>265</v>
      </c>
      <c r="N8" s="28">
        <v>-115.25</v>
      </c>
      <c r="O8" s="10" t="s">
        <v>266</v>
      </c>
      <c r="V8" t="s">
        <v>4</v>
      </c>
      <c r="W8">
        <f t="shared" si="6"/>
        <v>-8.2682860415141377</v>
      </c>
      <c r="X8">
        <f t="shared" si="0"/>
        <v>-4.9306619055789591E-2</v>
      </c>
      <c r="Y8">
        <f t="shared" si="7"/>
        <v>-4.9306633215851603E-2</v>
      </c>
      <c r="Z8">
        <f t="shared" si="8"/>
        <v>-4.9306604895730466E-2</v>
      </c>
      <c r="AA8">
        <f t="shared" si="9"/>
        <v>-1.4160060568535471E-2</v>
      </c>
      <c r="AB8">
        <f t="shared" si="1"/>
        <v>-11.750377012604469</v>
      </c>
      <c r="AC8" t="str">
        <f t="shared" si="2"/>
        <v/>
      </c>
      <c r="AE8" t="s">
        <v>4</v>
      </c>
      <c r="AF8">
        <f t="shared" si="10"/>
        <v>707.77935916410365</v>
      </c>
      <c r="AG8">
        <f t="shared" si="3"/>
        <v>2.4247674307177647E+307</v>
      </c>
      <c r="AH8">
        <f t="shared" si="11"/>
        <v>2.4247698554864019E+307</v>
      </c>
      <c r="AI8">
        <f t="shared" si="12"/>
        <v>2.4247650059515525E+307</v>
      </c>
      <c r="AJ8">
        <f t="shared" si="13"/>
        <v>2.4247674247178731E+307</v>
      </c>
      <c r="AK8">
        <f t="shared" si="4"/>
        <v>706.77935916162926</v>
      </c>
      <c r="AL8" t="str">
        <f t="shared" si="5"/>
        <v/>
      </c>
    </row>
    <row r="9" spans="1:38" x14ac:dyDescent="0.25">
      <c r="A9" t="s">
        <v>1</v>
      </c>
      <c r="B9">
        <v>1.5</v>
      </c>
      <c r="C9">
        <f>EXP(B9)-ATAN(B9)-1.5</f>
        <v>1.9988953470907354</v>
      </c>
      <c r="D9">
        <f>EXP(B9+E$6)-ATAN(B9+E$6)-1.5</f>
        <v>1.9988995210898812</v>
      </c>
      <c r="E9">
        <f>EXP(B9-E$6)-ATAN(B9-E$6)-1.5</f>
        <v>1.9988911730963563</v>
      </c>
      <c r="F9">
        <f>(D9-E9)/(E$6*2)</f>
        <v>4.1739967624465635</v>
      </c>
      <c r="G9">
        <f>B9-C9/F9</f>
        <v>1.0211075952250872</v>
      </c>
      <c r="H9" t="str">
        <f>IF(B10=B9,"STOP","")</f>
        <v/>
      </c>
      <c r="I9">
        <f t="shared" ref="I9:I14" ca="1" si="14">ABS(B9-B$7)</f>
        <v>0.73234673379872106</v>
      </c>
      <c r="J9">
        <v>0.8</v>
      </c>
      <c r="K9">
        <v>1</v>
      </c>
      <c r="N9" s="28">
        <v>-115.24</v>
      </c>
      <c r="O9" s="17">
        <v>0.76765326620127883</v>
      </c>
      <c r="V9" t="s">
        <v>5</v>
      </c>
      <c r="W9" s="4">
        <f t="shared" si="6"/>
        <v>-11.750377012604469</v>
      </c>
      <c r="X9">
        <f t="shared" si="0"/>
        <v>-1.4094869288298284E-2</v>
      </c>
      <c r="Y9">
        <f t="shared" si="7"/>
        <v>-1.4094876470965634E-2</v>
      </c>
      <c r="Z9">
        <f t="shared" si="8"/>
        <v>-1.4094862105632044E-2</v>
      </c>
      <c r="AA9">
        <f t="shared" si="9"/>
        <v>-7.1826667946695011E-3</v>
      </c>
      <c r="AB9">
        <f t="shared" si="1"/>
        <v>-13.712721875762893</v>
      </c>
      <c r="AC9" t="str">
        <f t="shared" si="2"/>
        <v/>
      </c>
      <c r="AE9" t="s">
        <v>5</v>
      </c>
      <c r="AF9" s="4">
        <f t="shared" si="10"/>
        <v>706.77935916162926</v>
      </c>
      <c r="AG9">
        <f t="shared" si="3"/>
        <v>8.9202208517595115E+306</v>
      </c>
      <c r="AH9">
        <f t="shared" si="11"/>
        <v>8.9202297719848013E+306</v>
      </c>
      <c r="AI9">
        <f t="shared" si="12"/>
        <v>8.9202119315431431E+306</v>
      </c>
      <c r="AJ9">
        <f t="shared" si="13"/>
        <v>8.920220829112361E+306</v>
      </c>
      <c r="AK9">
        <f t="shared" si="4"/>
        <v>705.7793591590904</v>
      </c>
      <c r="AL9" t="str">
        <f t="shared" si="5"/>
        <v/>
      </c>
    </row>
    <row r="10" spans="1:38" x14ac:dyDescent="0.25">
      <c r="A10" t="s">
        <v>2</v>
      </c>
      <c r="B10">
        <f>G9</f>
        <v>1.0211075952250872</v>
      </c>
      <c r="C10">
        <f t="shared" ref="C10:C15" si="15">EXP(B10)-ATAN(B10)-1.5</f>
        <v>0.48042668096717644</v>
      </c>
      <c r="D10">
        <f t="shared" ref="D10:D15" si="16">EXP(B10+E$6)-ATAN(B10+E$6)-1.5</f>
        <v>0.48042896767929122</v>
      </c>
      <c r="E10">
        <f t="shared" ref="E10:E15" si="17">EXP(B10-E$6)-ATAN(B10-E$6)-1.5</f>
        <v>0.4804243942583275</v>
      </c>
      <c r="F10">
        <f t="shared" ref="F10:F15" si="18">(D10-E10)/(E$6*2)</f>
        <v>2.2867104818580231</v>
      </c>
      <c r="G10">
        <f t="shared" ref="G10:G15" si="19">B10-C10/F10</f>
        <v>0.81101248927323322</v>
      </c>
      <c r="H10" t="str">
        <f t="shared" ref="H10:H15" si="20">IF(B11=B10,"STOP","")</f>
        <v/>
      </c>
      <c r="I10">
        <f t="shared" ca="1" si="14"/>
        <v>0.25345432902380827</v>
      </c>
      <c r="J10">
        <f ca="1">J$9*I10-I11</f>
        <v>0.15940424014709234</v>
      </c>
      <c r="K10">
        <f ca="1">K$9*I10-I11^2</f>
        <v>0.25157430679840476</v>
      </c>
      <c r="N10" s="13">
        <f>W33</f>
        <v>-28.22</v>
      </c>
      <c r="O10" s="17">
        <f>W31</f>
        <v>0.76765326620127883</v>
      </c>
      <c r="V10" t="s">
        <v>13</v>
      </c>
      <c r="W10" s="4">
        <f t="shared" si="6"/>
        <v>-13.712721875762893</v>
      </c>
      <c r="X10">
        <f t="shared" si="0"/>
        <v>-1.9986851956901308E-3</v>
      </c>
      <c r="Y10">
        <f t="shared" si="7"/>
        <v>-1.998690484503074E-3</v>
      </c>
      <c r="Z10">
        <f t="shared" si="8"/>
        <v>-1.9986799068776318E-3</v>
      </c>
      <c r="AA10">
        <f t="shared" si="9"/>
        <v>-5.2888127211048186E-3</v>
      </c>
      <c r="AB10">
        <f t="shared" si="1"/>
        <v>-14.090629981246463</v>
      </c>
      <c r="AC10" t="str">
        <f t="shared" si="2"/>
        <v/>
      </c>
      <c r="AE10" t="s">
        <v>13</v>
      </c>
      <c r="AF10" s="4">
        <f t="shared" si="10"/>
        <v>705.7793591590904</v>
      </c>
      <c r="AG10">
        <f t="shared" si="3"/>
        <v>3.2815658537397185E+306</v>
      </c>
      <c r="AH10">
        <f t="shared" si="11"/>
        <v>3.2815691353072043E+306</v>
      </c>
      <c r="AI10">
        <f t="shared" si="12"/>
        <v>3.281562572175514E+306</v>
      </c>
      <c r="AJ10">
        <f t="shared" si="13"/>
        <v>3.2815658451446441E+306</v>
      </c>
      <c r="AK10">
        <f t="shared" si="4"/>
        <v>704.77935915647117</v>
      </c>
      <c r="AL10" t="str">
        <f t="shared" si="5"/>
        <v/>
      </c>
    </row>
    <row r="11" spans="1:38" x14ac:dyDescent="0.25">
      <c r="A11" t="s">
        <v>3</v>
      </c>
      <c r="B11">
        <f>G10</f>
        <v>0.81101248927323322</v>
      </c>
      <c r="C11">
        <f t="shared" si="15"/>
        <v>6.876522611208391E-2</v>
      </c>
      <c r="D11">
        <f t="shared" si="16"/>
        <v>6.8766873068179191E-2</v>
      </c>
      <c r="E11">
        <f t="shared" si="17"/>
        <v>6.8763579158829025E-2</v>
      </c>
      <c r="F11">
        <f t="shared" si="18"/>
        <v>1.6469546750830233</v>
      </c>
      <c r="G11">
        <f t="shared" si="19"/>
        <v>0.76925953325541352</v>
      </c>
      <c r="H11" t="str">
        <f t="shared" si="20"/>
        <v/>
      </c>
      <c r="I11">
        <f t="shared" ca="1" si="14"/>
        <v>4.3359223071954278E-2</v>
      </c>
      <c r="J11">
        <f ca="1">J$9*I11-I12</f>
        <v>3.3081111403428842E-2</v>
      </c>
      <c r="K11">
        <f t="shared" ref="K11:K14" ca="1" si="21">K$9*I11-I12^2</f>
        <v>4.3356642978105077E-2</v>
      </c>
      <c r="N11" s="13">
        <f>W21</f>
        <v>-28.21</v>
      </c>
      <c r="O11" s="17">
        <f>W19</f>
        <v>-14.101269772739816</v>
      </c>
      <c r="V11" t="s">
        <v>14</v>
      </c>
      <c r="W11" s="4">
        <f t="shared" si="6"/>
        <v>-14.090629981246463</v>
      </c>
      <c r="X11">
        <f t="shared" si="0"/>
        <v>-5.3271965172241309E-5</v>
      </c>
      <c r="Y11">
        <f t="shared" si="7"/>
        <v>-5.3276975792382331E-5</v>
      </c>
      <c r="Z11">
        <f t="shared" si="8"/>
        <v>-5.3266954552322332E-5</v>
      </c>
      <c r="AA11">
        <f t="shared" si="9"/>
        <v>-5.010620029999302E-3</v>
      </c>
      <c r="AB11">
        <f t="shared" si="1"/>
        <v>-14.101261792250551</v>
      </c>
      <c r="AC11" t="str">
        <f t="shared" si="2"/>
        <v/>
      </c>
      <c r="AE11" t="s">
        <v>14</v>
      </c>
      <c r="AF11" s="4">
        <f t="shared" si="10"/>
        <v>704.77935915647117</v>
      </c>
      <c r="AG11">
        <f t="shared" si="3"/>
        <v>1.207220609279065E+306</v>
      </c>
      <c r="AH11">
        <f t="shared" si="11"/>
        <v>1.2072218165002748E+306</v>
      </c>
      <c r="AI11">
        <f t="shared" si="12"/>
        <v>1.2072194020590622E+306</v>
      </c>
      <c r="AJ11">
        <f t="shared" si="13"/>
        <v>1.2072206062795133E+306</v>
      </c>
      <c r="AK11">
        <f t="shared" si="4"/>
        <v>703.77935915398655</v>
      </c>
      <c r="AL11" t="str">
        <f t="shared" si="5"/>
        <v/>
      </c>
    </row>
    <row r="12" spans="1:38" x14ac:dyDescent="0.25">
      <c r="A12" t="s">
        <v>4</v>
      </c>
      <c r="B12">
        <f>G11</f>
        <v>0.76925953325541352</v>
      </c>
      <c r="C12">
        <f t="shared" si="15"/>
        <v>2.4539135729781947E-3</v>
      </c>
      <c r="D12">
        <f t="shared" si="16"/>
        <v>2.4554435066495017E-3</v>
      </c>
      <c r="E12">
        <f t="shared" si="17"/>
        <v>2.4523836420717871E-3</v>
      </c>
      <c r="F12">
        <f t="shared" si="18"/>
        <v>1.5299322888573386</v>
      </c>
      <c r="G12">
        <f t="shared" si="19"/>
        <v>0.76765559719180454</v>
      </c>
      <c r="H12" t="str">
        <f t="shared" si="20"/>
        <v/>
      </c>
      <c r="I12">
        <f t="shared" ca="1" si="14"/>
        <v>1.6062670541345803E-3</v>
      </c>
      <c r="J12">
        <f ca="1">J$9*I12-I13</f>
        <v>1.2826826527820635E-3</v>
      </c>
      <c r="K12">
        <f t="shared" ca="1" si="21"/>
        <v>1.6062670487010633E-3</v>
      </c>
      <c r="N12" s="14">
        <f>N33</f>
        <v>-0.01</v>
      </c>
      <c r="O12" s="17">
        <f ca="1">N31</f>
        <v>0.76765326620127905</v>
      </c>
      <c r="V12" t="s">
        <v>15</v>
      </c>
      <c r="W12" s="4">
        <f t="shared" si="6"/>
        <v>-14.101261792250551</v>
      </c>
      <c r="X12">
        <f t="shared" si="0"/>
        <v>-3.9927259498639955E-8</v>
      </c>
      <c r="Y12">
        <f t="shared" si="7"/>
        <v>-4.493037164543523E-8</v>
      </c>
      <c r="Z12">
        <f t="shared" si="8"/>
        <v>-3.4924147795933891E-8</v>
      </c>
      <c r="AA12">
        <f t="shared" si="9"/>
        <v>-5.0031119247506695E-3</v>
      </c>
      <c r="AB12">
        <f t="shared" si="1"/>
        <v>-14.101269772735517</v>
      </c>
      <c r="AC12" t="str">
        <f t="shared" si="2"/>
        <v/>
      </c>
      <c r="AE12" t="s">
        <v>15</v>
      </c>
      <c r="AF12" s="4">
        <f t="shared" si="10"/>
        <v>703.77935915398655</v>
      </c>
      <c r="AG12">
        <f t="shared" si="3"/>
        <v>4.4411164200877928E+305</v>
      </c>
      <c r="AH12">
        <f t="shared" si="11"/>
        <v>4.4411208612064217E+305</v>
      </c>
      <c r="AI12">
        <f t="shared" si="12"/>
        <v>4.4411119789736039E+305</v>
      </c>
      <c r="AJ12">
        <f t="shared" si="13"/>
        <v>4.4411164089048391E+305</v>
      </c>
      <c r="AK12">
        <f t="shared" si="4"/>
        <v>702.7793591514685</v>
      </c>
      <c r="AL12" t="str">
        <f t="shared" si="5"/>
        <v/>
      </c>
    </row>
    <row r="13" spans="1:38" x14ac:dyDescent="0.25">
      <c r="A13" t="s">
        <v>5</v>
      </c>
      <c r="B13" s="4">
        <f>G12</f>
        <v>0.76765559719180454</v>
      </c>
      <c r="C13">
        <f t="shared" si="15"/>
        <v>3.555916353814581E-6</v>
      </c>
      <c r="D13">
        <f t="shared" si="16"/>
        <v>5.081416796448579E-6</v>
      </c>
      <c r="E13">
        <f t="shared" si="17"/>
        <v>2.0304186734154683E-6</v>
      </c>
      <c r="F13">
        <f t="shared" si="18"/>
        <v>1.5254990615165553</v>
      </c>
      <c r="G13">
        <f t="shared" si="19"/>
        <v>0.76765326620619889</v>
      </c>
      <c r="H13" t="str">
        <f t="shared" si="20"/>
        <v/>
      </c>
      <c r="I13">
        <f t="shared" ca="1" si="14"/>
        <v>2.3309905256008179E-6</v>
      </c>
      <c r="J13">
        <f ca="1">J$9*I13-I14</f>
        <v>1.8647875005273207E-6</v>
      </c>
      <c r="K13">
        <f t="shared" ca="1" si="21"/>
        <v>2.3309905256008179E-6</v>
      </c>
      <c r="N13" s="14">
        <f>W5</f>
        <v>-0.02</v>
      </c>
      <c r="O13" s="17">
        <f>W3</f>
        <v>-14.101269772739954</v>
      </c>
      <c r="V13" t="s">
        <v>16</v>
      </c>
      <c r="W13" s="4">
        <f t="shared" si="6"/>
        <v>-14.101269772735517</v>
      </c>
      <c r="X13">
        <f t="shared" si="0"/>
        <v>-2.2204460492503131E-14</v>
      </c>
      <c r="Y13">
        <f t="shared" si="7"/>
        <v>-5.0031288001406438E-9</v>
      </c>
      <c r="Z13">
        <f t="shared" si="8"/>
        <v>5.003083725085844E-9</v>
      </c>
      <c r="AA13">
        <f t="shared" si="9"/>
        <v>-5.0031062626132439E-3</v>
      </c>
      <c r="AB13">
        <f t="shared" si="1"/>
        <v>-14.101269772739954</v>
      </c>
      <c r="AC13" t="str">
        <f t="shared" si="2"/>
        <v/>
      </c>
      <c r="AE13" t="s">
        <v>16</v>
      </c>
      <c r="AF13" s="4">
        <f t="shared" si="10"/>
        <v>702.7793591514685</v>
      </c>
      <c r="AG13">
        <f t="shared" si="3"/>
        <v>1.6337954226852354E+305</v>
      </c>
      <c r="AH13">
        <f t="shared" si="11"/>
        <v>1.6337970564814709E+305</v>
      </c>
      <c r="AI13">
        <f t="shared" si="12"/>
        <v>1.6337937888906336E+305</v>
      </c>
      <c r="AJ13">
        <f t="shared" si="13"/>
        <v>1.6337954186398618E+305</v>
      </c>
      <c r="AK13">
        <f t="shared" si="4"/>
        <v>701.7793591489924</v>
      </c>
      <c r="AL13" t="str">
        <f t="shared" si="5"/>
        <v/>
      </c>
    </row>
    <row r="14" spans="1:38" x14ac:dyDescent="0.25">
      <c r="A14" t="s">
        <v>13</v>
      </c>
      <c r="B14" s="4">
        <f t="shared" ref="B14:B16" si="22">G13</f>
        <v>0.76765326620619889</v>
      </c>
      <c r="C14">
        <f t="shared" si="15"/>
        <v>7.5053296910709832E-12</v>
      </c>
      <c r="D14">
        <f t="shared" si="16"/>
        <v>1.5255015086701462E-6</v>
      </c>
      <c r="E14">
        <f t="shared" si="17"/>
        <v>-1.5254837353317896E-6</v>
      </c>
      <c r="F14">
        <f t="shared" si="18"/>
        <v>1.5254926220009679</v>
      </c>
      <c r="G14">
        <f t="shared" si="19"/>
        <v>0.76765326620127894</v>
      </c>
      <c r="H14" t="str">
        <f t="shared" si="20"/>
        <v/>
      </c>
      <c r="I14">
        <f t="shared" ca="1" si="14"/>
        <v>4.9199533336263812E-12</v>
      </c>
      <c r="J14">
        <f ca="1">J$9*I14-I15</f>
        <v>3.935962666901105E-12</v>
      </c>
      <c r="K14">
        <f t="shared" ca="1" si="21"/>
        <v>4.9199533336263812E-12</v>
      </c>
      <c r="N14" s="15">
        <v>0</v>
      </c>
      <c r="O14" s="10" t="s">
        <v>264</v>
      </c>
      <c r="V14" t="s">
        <v>17</v>
      </c>
      <c r="W14" s="4">
        <f t="shared" si="6"/>
        <v>-14.101269772739954</v>
      </c>
      <c r="X14">
        <f t="shared" si="0"/>
        <v>0</v>
      </c>
      <c r="Y14">
        <f t="shared" si="7"/>
        <v>-5.0031065956801513E-9</v>
      </c>
      <c r="Z14">
        <f t="shared" si="8"/>
        <v>5.0031057075017316E-9</v>
      </c>
      <c r="AA14">
        <f t="shared" si="9"/>
        <v>-5.0031061515909414E-3</v>
      </c>
      <c r="AB14">
        <f t="shared" si="1"/>
        <v>-14.101269772739954</v>
      </c>
      <c r="AC14" t="str">
        <f t="shared" si="2"/>
        <v>STOP</v>
      </c>
      <c r="AE14" t="s">
        <v>17</v>
      </c>
      <c r="AF14" s="4">
        <f t="shared" si="10"/>
        <v>701.7793591489924</v>
      </c>
      <c r="AG14">
        <f t="shared" si="3"/>
        <v>6.0103974559767072E+304</v>
      </c>
      <c r="AH14">
        <f t="shared" si="11"/>
        <v>6.0104034663771529E+304</v>
      </c>
      <c r="AI14">
        <f t="shared" si="12"/>
        <v>6.0103914455822714E+304</v>
      </c>
      <c r="AJ14">
        <f t="shared" si="13"/>
        <v>6.0103974407529353E+304</v>
      </c>
      <c r="AK14">
        <f t="shared" si="4"/>
        <v>700.77935914645946</v>
      </c>
      <c r="AL14" t="str">
        <f t="shared" si="5"/>
        <v/>
      </c>
    </row>
    <row r="15" spans="1:38" x14ac:dyDescent="0.25">
      <c r="A15" t="s">
        <v>14</v>
      </c>
      <c r="B15" s="4">
        <f t="shared" si="22"/>
        <v>0.76765326620127894</v>
      </c>
      <c r="C15">
        <f t="shared" si="15"/>
        <v>0</v>
      </c>
      <c r="D15">
        <f t="shared" si="16"/>
        <v>1.5254940033404552E-6</v>
      </c>
      <c r="E15">
        <f t="shared" si="17"/>
        <v>-1.5254912404394361E-6</v>
      </c>
      <c r="F15">
        <f t="shared" si="18"/>
        <v>1.5254926218899456</v>
      </c>
      <c r="G15">
        <f t="shared" si="19"/>
        <v>0.76765326620127894</v>
      </c>
      <c r="H15" t="str">
        <f t="shared" si="20"/>
        <v>STOP</v>
      </c>
      <c r="N15" s="16">
        <f>W88</f>
        <v>0.01</v>
      </c>
      <c r="O15" s="17">
        <f>W86</f>
        <v>0.76765326620127894</v>
      </c>
      <c r="V15" t="s">
        <v>18</v>
      </c>
      <c r="W15" s="4">
        <f t="shared" si="6"/>
        <v>-14.101269772739954</v>
      </c>
      <c r="X15">
        <f t="shared" si="0"/>
        <v>0</v>
      </c>
      <c r="Y15">
        <f t="shared" si="7"/>
        <v>-5.0031065956801513E-9</v>
      </c>
      <c r="Z15">
        <f t="shared" si="8"/>
        <v>5.0031057075017316E-9</v>
      </c>
      <c r="AA15">
        <f t="shared" si="9"/>
        <v>-5.0031061515909414E-3</v>
      </c>
      <c r="AB15">
        <f t="shared" si="1"/>
        <v>-14.101269772739954</v>
      </c>
      <c r="AC15" t="str">
        <f t="shared" si="2"/>
        <v/>
      </c>
      <c r="AE15" t="s">
        <v>18</v>
      </c>
      <c r="AF15" s="4">
        <f t="shared" si="10"/>
        <v>700.77935914645946</v>
      </c>
      <c r="AG15">
        <f t="shared" si="3"/>
        <v>2.2111016517223756E+304</v>
      </c>
      <c r="AH15">
        <f t="shared" si="11"/>
        <v>2.2111038628251274E+304</v>
      </c>
      <c r="AI15">
        <f t="shared" si="12"/>
        <v>2.2110994406218351E+304</v>
      </c>
      <c r="AJ15">
        <f t="shared" si="13"/>
        <v>2.2111016461416933E+304</v>
      </c>
      <c r="AK15">
        <f t="shared" si="4"/>
        <v>699.77935914393549</v>
      </c>
      <c r="AL15" t="str">
        <f t="shared" si="5"/>
        <v/>
      </c>
    </row>
    <row r="16" spans="1:38" x14ac:dyDescent="0.25">
      <c r="A16" t="s">
        <v>15</v>
      </c>
      <c r="B16" s="4">
        <f t="shared" si="22"/>
        <v>0.76765326620127894</v>
      </c>
      <c r="W16" s="4"/>
      <c r="AE16" t="s">
        <v>19</v>
      </c>
      <c r="AF16" s="4">
        <f t="shared" ref="AF16:AF79" si="23">AK15</f>
        <v>699.77935914393549</v>
      </c>
      <c r="AG16">
        <f t="shared" ref="AG16:AG79" si="24">EXP(AF16)-ATAN(AF16)-1.5</f>
        <v>8.1341883795584286E+303</v>
      </c>
      <c r="AH16">
        <f t="shared" ref="AH16:AH79" si="25">EXP(AF16+E$6)-ATAN(AF16+E$6)-1.5</f>
        <v>8.1341965137508543E+303</v>
      </c>
      <c r="AI16">
        <f t="shared" ref="AI16:AI79" si="26">EXP(AF16-E$6)-ATAN(AF16-E$6)-1.5</f>
        <v>8.1341802453741366E+303</v>
      </c>
      <c r="AJ16">
        <f t="shared" ref="AJ16:AJ79" si="27">(AH16-AI16)/(E$6*2)</f>
        <v>8.1341883588274231E+303</v>
      </c>
      <c r="AK16">
        <f t="shared" ref="AK16:AK79" si="28">AF16-AG16/AJ16</f>
        <v>698.77935914138686</v>
      </c>
      <c r="AL16" t="str">
        <f t="shared" ref="AL16:AL79" si="29">IF(AF17=AF16,"STOP","")</f>
        <v/>
      </c>
    </row>
    <row r="17" spans="1:38" x14ac:dyDescent="0.25">
      <c r="AE17" t="s">
        <v>20</v>
      </c>
      <c r="AF17" s="4">
        <f t="shared" si="23"/>
        <v>698.77935914138686</v>
      </c>
      <c r="AG17">
        <f t="shared" si="24"/>
        <v>2.9924006678286678E+303</v>
      </c>
      <c r="AH17">
        <f t="shared" si="25"/>
        <v>2.9924036602308241E+303</v>
      </c>
      <c r="AI17">
        <f t="shared" si="26"/>
        <v>2.9923976754295039E+303</v>
      </c>
      <c r="AJ17">
        <f t="shared" si="27"/>
        <v>2.9924006601341077E+303</v>
      </c>
      <c r="AK17">
        <f t="shared" si="28"/>
        <v>697.77935913881549</v>
      </c>
      <c r="AL17" t="str">
        <f t="shared" si="29"/>
        <v/>
      </c>
    </row>
    <row r="18" spans="1:38" x14ac:dyDescent="0.25">
      <c r="Y18" s="1"/>
      <c r="Z18" s="1"/>
      <c r="AE18" t="s">
        <v>21</v>
      </c>
      <c r="AF18" s="4">
        <f t="shared" si="23"/>
        <v>697.77935913881549</v>
      </c>
      <c r="AG18">
        <f t="shared" si="24"/>
        <v>1.1008426826111885E+303</v>
      </c>
      <c r="AH18">
        <f t="shared" si="25"/>
        <v>1.1008437834544188E+303</v>
      </c>
      <c r="AI18">
        <f t="shared" si="26"/>
        <v>1.1008415817690591E+303</v>
      </c>
      <c r="AJ18">
        <f t="shared" si="27"/>
        <v>1.100842679847746E+303</v>
      </c>
      <c r="AK18">
        <f t="shared" si="28"/>
        <v>696.77935913630517</v>
      </c>
      <c r="AL18" t="str">
        <f t="shared" si="29"/>
        <v/>
      </c>
    </row>
    <row r="19" spans="1:38" x14ac:dyDescent="0.25">
      <c r="A19" t="s">
        <v>204</v>
      </c>
      <c r="B19" s="12">
        <f>B25</f>
        <v>-14.101269772739814</v>
      </c>
      <c r="V19" t="s">
        <v>204</v>
      </c>
      <c r="W19" s="12">
        <f>W27</f>
        <v>-14.101269772739816</v>
      </c>
      <c r="AE19" t="s">
        <v>22</v>
      </c>
      <c r="AF19" s="4">
        <f t="shared" si="23"/>
        <v>696.77935913630517</v>
      </c>
      <c r="AG19">
        <f t="shared" si="24"/>
        <v>4.0497738988005299E+302</v>
      </c>
      <c r="AH19">
        <f t="shared" si="25"/>
        <v>4.0497779485764437E+302</v>
      </c>
      <c r="AI19">
        <f t="shared" si="26"/>
        <v>4.0497698490286666E+302</v>
      </c>
      <c r="AJ19">
        <f t="shared" si="27"/>
        <v>4.0497738885522648E+302</v>
      </c>
      <c r="AK19">
        <f t="shared" si="28"/>
        <v>695.77935913377462</v>
      </c>
      <c r="AL19" t="str">
        <f t="shared" si="29"/>
        <v/>
      </c>
    </row>
    <row r="20" spans="1:38" x14ac:dyDescent="0.25">
      <c r="B20" s="3" t="s">
        <v>205</v>
      </c>
      <c r="C20" s="2" t="s">
        <v>8</v>
      </c>
      <c r="D20" s="2" t="s">
        <v>7</v>
      </c>
      <c r="E20" s="2" t="s">
        <v>9</v>
      </c>
      <c r="F20" s="2" t="s">
        <v>10</v>
      </c>
      <c r="G20" s="2" t="s">
        <v>11</v>
      </c>
      <c r="H20" s="2" t="s">
        <v>12</v>
      </c>
      <c r="I20" s="2" t="s">
        <v>6</v>
      </c>
      <c r="J20" s="2" t="s">
        <v>256</v>
      </c>
      <c r="K20" s="2" t="s">
        <v>265</v>
      </c>
      <c r="M20" t="s">
        <v>204</v>
      </c>
      <c r="N20" s="12"/>
      <c r="W20" s="3" t="s">
        <v>205</v>
      </c>
      <c r="X20" s="2" t="s">
        <v>8</v>
      </c>
      <c r="Y20" s="2" t="s">
        <v>7</v>
      </c>
      <c r="Z20" s="2" t="s">
        <v>9</v>
      </c>
      <c r="AA20" s="2" t="s">
        <v>10</v>
      </c>
      <c r="AB20" s="2" t="s">
        <v>11</v>
      </c>
      <c r="AC20" s="2" t="s">
        <v>12</v>
      </c>
      <c r="AE20" t="s">
        <v>23</v>
      </c>
      <c r="AF20" s="4">
        <f t="shared" si="23"/>
        <v>695.77935913377462</v>
      </c>
      <c r="AG20">
        <f t="shared" si="24"/>
        <v>1.4898285549913387E+302</v>
      </c>
      <c r="AH20">
        <f t="shared" si="25"/>
        <v>1.4898300448206348E+302</v>
      </c>
      <c r="AI20">
        <f t="shared" si="26"/>
        <v>1.4898270651635324E+302</v>
      </c>
      <c r="AJ20">
        <f t="shared" si="27"/>
        <v>1.4898285511976082E+302</v>
      </c>
      <c r="AK20">
        <f t="shared" si="28"/>
        <v>694.77935913122815</v>
      </c>
      <c r="AL20" t="str">
        <f t="shared" si="29"/>
        <v/>
      </c>
    </row>
    <row r="21" spans="1:38" x14ac:dyDescent="0.25">
      <c r="A21" t="s">
        <v>1</v>
      </c>
      <c r="B21">
        <v>-16</v>
      </c>
      <c r="C21">
        <f>EXP(B21)-ATAN(B21)-1.5</f>
        <v>8.3776293341140118E-3</v>
      </c>
      <c r="D21">
        <f>EXP(B21+E$6)-ATAN(B21+E$6)-1.5</f>
        <v>8.3776254431757735E-3</v>
      </c>
      <c r="E21">
        <f>EXP(B21-E$6)-ATAN(B21-E$6)-1.5</f>
        <v>8.377633225051806E-3</v>
      </c>
      <c r="F21">
        <f>(D21-E21)/(E$6*2)</f>
        <v>-3.8909380162266416E-3</v>
      </c>
      <c r="G21">
        <f>B21-C21/F21</f>
        <v>-13.846886971939359</v>
      </c>
      <c r="H21" t="str">
        <f>IF(B22=B21,"STOP","")</f>
        <v/>
      </c>
      <c r="I21">
        <f>ABS(B21-B$19)</f>
        <v>1.8987302272601863</v>
      </c>
      <c r="J21">
        <v>0.8</v>
      </c>
      <c r="K21">
        <v>1</v>
      </c>
      <c r="N21" s="3" t="s">
        <v>205</v>
      </c>
      <c r="O21" s="2" t="s">
        <v>8</v>
      </c>
      <c r="P21" s="2" t="s">
        <v>7</v>
      </c>
      <c r="Q21" s="2" t="s">
        <v>9</v>
      </c>
      <c r="R21" s="2" t="s">
        <v>10</v>
      </c>
      <c r="S21" s="2" t="s">
        <v>11</v>
      </c>
      <c r="T21" s="2" t="s">
        <v>12</v>
      </c>
      <c r="V21" t="s">
        <v>1</v>
      </c>
      <c r="W21">
        <v>-28.21</v>
      </c>
      <c r="X21">
        <f t="shared" ref="X21:X28" si="30">EXP(W21)-ATAN(W21)-1.5</f>
        <v>3.5362741117782814E-2</v>
      </c>
      <c r="Y21">
        <f>EXP(W21+E$6)-ATAN(W21+E$6)-1.5</f>
        <v>3.5362739862769166E-2</v>
      </c>
      <c r="Z21">
        <f>EXP(W21-E$6)-ATAN(W21-E$6)-1.5</f>
        <v>3.5362742372796241E-2</v>
      </c>
      <c r="AA21">
        <f>(Y21-Z21)/(E$6*2)</f>
        <v>-1.2550135375377636E-3</v>
      </c>
      <c r="AB21">
        <f t="shared" ref="AB21:AB28" si="31">W21-X21/AA21</f>
        <v>-3.282098154758728E-2</v>
      </c>
      <c r="AC21" t="str">
        <f t="shared" ref="AC21:AC28" si="32">IF(W22=W21,"STOP","")</f>
        <v/>
      </c>
      <c r="AE21" t="s">
        <v>24</v>
      </c>
      <c r="AF21" s="4">
        <f t="shared" si="23"/>
        <v>694.77935913122815</v>
      </c>
      <c r="AG21">
        <f t="shared" si="24"/>
        <v>5.4807729485580786E+301</v>
      </c>
      <c r="AH21">
        <f t="shared" si="25"/>
        <v>5.4807784293337535E+301</v>
      </c>
      <c r="AI21">
        <f t="shared" si="26"/>
        <v>5.4807674677878846E+301</v>
      </c>
      <c r="AJ21">
        <f t="shared" si="27"/>
        <v>5.4807729344437281E+301</v>
      </c>
      <c r="AK21">
        <f t="shared" si="28"/>
        <v>693.77935912865291</v>
      </c>
      <c r="AL21" t="str">
        <f t="shared" si="29"/>
        <v/>
      </c>
    </row>
    <row r="22" spans="1:38" x14ac:dyDescent="0.25">
      <c r="A22" t="s">
        <v>2</v>
      </c>
      <c r="B22">
        <f>G21</f>
        <v>-13.846886971939359</v>
      </c>
      <c r="C22">
        <f t="shared" ref="C22:C25" si="33">EXP(B22)-ATAN(B22)-1.5</f>
        <v>-1.2959423144347504E-3</v>
      </c>
      <c r="D22">
        <f>EXP(B22+E$6)-ATAN(B22+E$6)-1.5</f>
        <v>-1.2959475019027611E-3</v>
      </c>
      <c r="E22">
        <f>EXP(B22-E$6)-ATAN(B22-E$6)-1.5</f>
        <v>-1.2959371269676279E-3</v>
      </c>
      <c r="F22">
        <f>(D22-E22)/(E$6*2)</f>
        <v>-5.1874675666141457E-3</v>
      </c>
      <c r="G22">
        <f t="shared" ref="G22:G25" si="34">B22-C22/F22</f>
        <v>-14.096708739071989</v>
      </c>
      <c r="H22" t="str">
        <f t="shared" ref="H22:H25" si="35">IF(B23=B22,"STOP","")</f>
        <v/>
      </c>
      <c r="I22">
        <f t="shared" ref="I22:I24" si="36">ABS(B22-B$19)</f>
        <v>0.25438280080045494</v>
      </c>
      <c r="J22">
        <f>J$21*I22-I23</f>
        <v>0.19894520697253917</v>
      </c>
      <c r="K22">
        <f>K$21*I22-I23^2</f>
        <v>0.25436199777233592</v>
      </c>
      <c r="M22" t="s">
        <v>1</v>
      </c>
      <c r="N22">
        <v>-115.25</v>
      </c>
      <c r="O22">
        <f>EXP(N22)-ATAN(N22)-1.5</f>
        <v>6.2119754946095229E-2</v>
      </c>
      <c r="P22">
        <f>EXP(N22+E$6)-ATAN(N22+E$6)-1.5</f>
        <v>6.2119754870814115E-2</v>
      </c>
      <c r="Q22">
        <f>EXP(N22-E$6)-ATAN(N22-E$6)-1.5</f>
        <v>6.2119755021376122E-2</v>
      </c>
      <c r="R22">
        <f>(P22-Q22)/(E$6*2)</f>
        <v>-7.5281003653060452E-5</v>
      </c>
      <c r="S22">
        <f>N22-O22/R22</f>
        <v>709.92171572764801</v>
      </c>
      <c r="T22" t="str">
        <f>IF(N23=N22,"STOP","")</f>
        <v/>
      </c>
      <c r="V22" t="s">
        <v>2</v>
      </c>
      <c r="W22">
        <f t="shared" ref="W22:W28" si="37">AB21</f>
        <v>-3.282098154758728E-2</v>
      </c>
      <c r="X22">
        <f t="shared" si="30"/>
        <v>-0.49947901359657298</v>
      </c>
      <c r="Y22">
        <f t="shared" ref="Y22:Y28" si="38">EXP(W22+E$6)-ATAN(W22+E$6)-1.5</f>
        <v>-0.49947904480828198</v>
      </c>
      <c r="Z22">
        <f t="shared" ref="Z22:Z28" si="39">EXP(W22-E$6)-ATAN(W22-E$6)-1.5</f>
        <v>-0.49947898238396182</v>
      </c>
      <c r="AA22">
        <f t="shared" ref="AA22:AA28" si="40">(Y22-Z22)/(E$6*2)</f>
        <v>-3.1212160078730733E-2</v>
      </c>
      <c r="AB22">
        <f t="shared" si="31"/>
        <v>-16.03552673266088</v>
      </c>
      <c r="AC22" t="str">
        <f t="shared" si="32"/>
        <v/>
      </c>
      <c r="AE22" t="s">
        <v>25</v>
      </c>
      <c r="AF22" s="4">
        <f t="shared" si="23"/>
        <v>693.77935912865291</v>
      </c>
      <c r="AG22">
        <f t="shared" si="24"/>
        <v>2.0162636843107528E+301</v>
      </c>
      <c r="AH22">
        <f t="shared" si="25"/>
        <v>2.0162657005754402E+301</v>
      </c>
      <c r="AI22">
        <f t="shared" si="26"/>
        <v>2.0162616680480819E+301</v>
      </c>
      <c r="AJ22">
        <f t="shared" si="27"/>
        <v>2.0162636791440388E+301</v>
      </c>
      <c r="AK22">
        <f t="shared" si="28"/>
        <v>692.77935912609041</v>
      </c>
      <c r="AL22" t="str">
        <f t="shared" si="29"/>
        <v/>
      </c>
    </row>
    <row r="23" spans="1:38" x14ac:dyDescent="0.25">
      <c r="A23" t="s">
        <v>3</v>
      </c>
      <c r="B23">
        <f>G22</f>
        <v>-14.096708739071989</v>
      </c>
      <c r="C23">
        <f t="shared" si="33"/>
        <v>-2.2826675862619439E-5</v>
      </c>
      <c r="D23">
        <f>EXP(B23+E$6)-ATAN(B23+E$6)-1.5</f>
        <v>-2.2831682187973712E-5</v>
      </c>
      <c r="E23">
        <f>EXP(B23-E$6)-ATAN(B23-E$6)-1.5</f>
        <v>-2.2821669537709255E-5</v>
      </c>
      <c r="F23">
        <f>(D23-E23)/(E$6*2)</f>
        <v>-5.0063251322285396E-3</v>
      </c>
      <c r="G23">
        <f t="shared" si="34"/>
        <v>-14.101268306271425</v>
      </c>
      <c r="H23" t="str">
        <f t="shared" si="35"/>
        <v/>
      </c>
      <c r="I23">
        <f t="shared" si="36"/>
        <v>4.5610336678247876E-3</v>
      </c>
      <c r="J23">
        <f>J$21*I23-I24</f>
        <v>3.6473604658713299E-3</v>
      </c>
      <c r="K23">
        <f t="shared" ref="K23:K24" si="41">K$21*I23-I24^2</f>
        <v>4.5610336656742578E-3</v>
      </c>
      <c r="M23" t="s">
        <v>2</v>
      </c>
      <c r="N23">
        <f>S22</f>
        <v>709.92171572764801</v>
      </c>
      <c r="O23" t="e">
        <f t="shared" ref="O23:O24" si="42">EXP(N23)-ATAN(N23)-1.5</f>
        <v>#NUM!</v>
      </c>
      <c r="P23" t="e">
        <f t="shared" ref="P23:P24" si="43">EXP(N23+E$6)-ATAN(N23+E$6)-1.5</f>
        <v>#NUM!</v>
      </c>
      <c r="Q23" t="e">
        <f t="shared" ref="Q23:Q24" si="44">EXP(N23-E$6)-ATAN(N23-E$6)-1.5</f>
        <v>#NUM!</v>
      </c>
      <c r="R23" t="e">
        <f t="shared" ref="R23:R24" si="45">(P23-Q23)/(E$6*2)</f>
        <v>#NUM!</v>
      </c>
      <c r="S23" t="e">
        <f t="shared" ref="S23:S24" si="46">N23-O23/R23</f>
        <v>#NUM!</v>
      </c>
      <c r="T23" t="e">
        <f t="shared" ref="T23:T24" si="47">IF(N24=N23,"STOP","")</f>
        <v>#NUM!</v>
      </c>
      <c r="V23" t="s">
        <v>3</v>
      </c>
      <c r="W23">
        <f t="shared" si="37"/>
        <v>-16.03552673266088</v>
      </c>
      <c r="X23">
        <f t="shared" si="30"/>
        <v>8.5155566455730192E-3</v>
      </c>
      <c r="Y23">
        <f t="shared" si="38"/>
        <v>8.5155527717861723E-3</v>
      </c>
      <c r="Z23">
        <f t="shared" si="39"/>
        <v>8.5155605193591999E-3</v>
      </c>
      <c r="AA23">
        <f t="shared" si="40"/>
        <v>-3.8737865137861149E-3</v>
      </c>
      <c r="AB23">
        <f t="shared" si="31"/>
        <v>-13.837275327926088</v>
      </c>
      <c r="AC23" t="str">
        <f t="shared" si="32"/>
        <v/>
      </c>
      <c r="AE23" t="s">
        <v>26</v>
      </c>
      <c r="AF23" s="4">
        <f t="shared" si="23"/>
        <v>692.77935912609041</v>
      </c>
      <c r="AG23">
        <f t="shared" si="24"/>
        <v>7.417419555377984E+300</v>
      </c>
      <c r="AH23">
        <f t="shared" si="25"/>
        <v>7.417426972801229E+300</v>
      </c>
      <c r="AI23">
        <f t="shared" si="26"/>
        <v>7.4174121379621563E+300</v>
      </c>
      <c r="AJ23">
        <f t="shared" si="27"/>
        <v>7.417419536325982E+300</v>
      </c>
      <c r="AK23">
        <f t="shared" si="28"/>
        <v>691.77935912352189</v>
      </c>
      <c r="AL23" t="str">
        <f t="shared" si="29"/>
        <v/>
      </c>
    </row>
    <row r="24" spans="1:38" x14ac:dyDescent="0.25">
      <c r="A24" t="s">
        <v>4</v>
      </c>
      <c r="B24">
        <f>G23</f>
        <v>-14.101268306271425</v>
      </c>
      <c r="C24">
        <f t="shared" si="33"/>
        <v>-7.3368986441835204E-9</v>
      </c>
      <c r="D24">
        <f>EXP(B24+E$6)-ATAN(B24+E$6)-1.5</f>
        <v>-1.2340006350086696E-8</v>
      </c>
      <c r="E24">
        <f>EXP(B24-E$6)-ATAN(B24-E$6)-1.5</f>
        <v>-2.3337918264587643E-9</v>
      </c>
      <c r="F24">
        <f>(D24-E24)/(E$6*2)</f>
        <v>-5.003107261813966E-3</v>
      </c>
      <c r="G24">
        <f t="shared" si="34"/>
        <v>-14.101269772739814</v>
      </c>
      <c r="H24" t="str">
        <f t="shared" si="35"/>
        <v/>
      </c>
      <c r="I24">
        <f t="shared" si="36"/>
        <v>1.466468388500175E-6</v>
      </c>
      <c r="J24">
        <f>J$21*I24-I25</f>
        <v>1.1731747108001401E-6</v>
      </c>
      <c r="K24">
        <f t="shared" si="41"/>
        <v>1.466468388500175E-6</v>
      </c>
      <c r="M24" t="s">
        <v>3</v>
      </c>
      <c r="N24" t="e">
        <f>S23</f>
        <v>#NUM!</v>
      </c>
      <c r="O24" t="e">
        <f t="shared" si="42"/>
        <v>#NUM!</v>
      </c>
      <c r="P24" t="e">
        <f t="shared" si="43"/>
        <v>#NUM!</v>
      </c>
      <c r="Q24" t="e">
        <f t="shared" si="44"/>
        <v>#NUM!</v>
      </c>
      <c r="R24" t="e">
        <f t="shared" si="45"/>
        <v>#NUM!</v>
      </c>
      <c r="S24" t="e">
        <f t="shared" si="46"/>
        <v>#NUM!</v>
      </c>
      <c r="T24" t="e">
        <f t="shared" si="47"/>
        <v>#NUM!</v>
      </c>
      <c r="V24" t="s">
        <v>4</v>
      </c>
      <c r="W24">
        <f t="shared" si="37"/>
        <v>-13.837275327926088</v>
      </c>
      <c r="X24">
        <f t="shared" si="30"/>
        <v>-1.3458368225796047E-3</v>
      </c>
      <c r="Y24">
        <f t="shared" si="38"/>
        <v>-1.3458420172112184E-3</v>
      </c>
      <c r="Z24">
        <f t="shared" si="39"/>
        <v>-1.3458316279486571E-3</v>
      </c>
      <c r="AA24">
        <f t="shared" si="40"/>
        <v>-5.1946312806805395E-3</v>
      </c>
      <c r="AB24">
        <f t="shared" si="31"/>
        <v>-14.096357589950138</v>
      </c>
      <c r="AC24" t="str">
        <f t="shared" si="32"/>
        <v/>
      </c>
      <c r="AE24" t="s">
        <v>27</v>
      </c>
      <c r="AF24" s="4">
        <f t="shared" si="23"/>
        <v>691.77935912352189</v>
      </c>
      <c r="AG24">
        <f t="shared" si="24"/>
        <v>2.7287161539578005E+300</v>
      </c>
      <c r="AH24">
        <f t="shared" si="25"/>
        <v>2.7287188826753118E+300</v>
      </c>
      <c r="AI24">
        <f t="shared" si="26"/>
        <v>2.7287134252430183E+300</v>
      </c>
      <c r="AJ24">
        <f t="shared" si="27"/>
        <v>2.7287161467729227E+300</v>
      </c>
      <c r="AK24">
        <f t="shared" si="28"/>
        <v>690.77935912088878</v>
      </c>
      <c r="AL24" t="str">
        <f t="shared" si="29"/>
        <v/>
      </c>
    </row>
    <row r="25" spans="1:38" x14ac:dyDescent="0.25">
      <c r="A25" t="s">
        <v>5</v>
      </c>
      <c r="B25" s="4">
        <f>G24</f>
        <v>-14.101269772739814</v>
      </c>
      <c r="C25">
        <f t="shared" si="33"/>
        <v>0</v>
      </c>
      <c r="D25">
        <f>EXP(B25+E$6)-ATAN(B25+E$6)-1.5</f>
        <v>-5.003107483858571E-9</v>
      </c>
      <c r="E25">
        <f>EXP(B25-E$6)-ATAN(B25-E$6)-1.5</f>
        <v>5.0031050413679168E-9</v>
      </c>
      <c r="F25">
        <f>(D25-E25)/(E$6*2)</f>
        <v>-5.0031062626132439E-3</v>
      </c>
      <c r="G25">
        <f t="shared" si="34"/>
        <v>-14.101269772739814</v>
      </c>
      <c r="H25" t="str">
        <f t="shared" si="35"/>
        <v>STOP</v>
      </c>
      <c r="V25" t="s">
        <v>5</v>
      </c>
      <c r="W25" s="4">
        <f t="shared" si="37"/>
        <v>-14.096357589950138</v>
      </c>
      <c r="X25">
        <f t="shared" si="30"/>
        <v>-2.4584686093342967E-5</v>
      </c>
      <c r="Y25">
        <f t="shared" si="38"/>
        <v>-2.4589692666943108E-5</v>
      </c>
      <c r="Z25">
        <f t="shared" si="39"/>
        <v>-2.4579679520631004E-5</v>
      </c>
      <c r="AA25">
        <f t="shared" si="40"/>
        <v>-5.0065731560522408E-3</v>
      </c>
      <c r="AB25">
        <f t="shared" si="31"/>
        <v>-14.101268071696245</v>
      </c>
      <c r="AC25" t="str">
        <f t="shared" si="32"/>
        <v/>
      </c>
      <c r="AE25" t="s">
        <v>28</v>
      </c>
      <c r="AF25" s="4">
        <f t="shared" si="23"/>
        <v>690.77935912088878</v>
      </c>
      <c r="AG25">
        <f t="shared" si="24"/>
        <v>1.0038385711902748E+300</v>
      </c>
      <c r="AH25">
        <f t="shared" si="25"/>
        <v>1.0038395750293454E+300</v>
      </c>
      <c r="AI25">
        <f t="shared" si="26"/>
        <v>1.0038375673522081E+300</v>
      </c>
      <c r="AJ25">
        <f t="shared" si="27"/>
        <v>1.0038385686818364E+300</v>
      </c>
      <c r="AK25">
        <f t="shared" si="28"/>
        <v>689.77935911838995</v>
      </c>
      <c r="AL25" t="str">
        <f t="shared" si="29"/>
        <v/>
      </c>
    </row>
    <row r="26" spans="1:38" x14ac:dyDescent="0.25">
      <c r="A26" t="s">
        <v>13</v>
      </c>
      <c r="B26" s="4">
        <f t="shared" ref="B26" si="48">G25</f>
        <v>-14.101269772739814</v>
      </c>
      <c r="V26" t="s">
        <v>13</v>
      </c>
      <c r="W26" s="4">
        <f t="shared" si="37"/>
        <v>-14.101268071696245</v>
      </c>
      <c r="X26">
        <f t="shared" si="30"/>
        <v>-8.5105036351507124E-9</v>
      </c>
      <c r="Y26">
        <f t="shared" si="38"/>
        <v>-1.3513611341053888E-8</v>
      </c>
      <c r="Z26">
        <f t="shared" si="39"/>
        <v>-3.5073965953813513E-9</v>
      </c>
      <c r="AA26">
        <f t="shared" si="40"/>
        <v>-5.0031073728362685E-3</v>
      </c>
      <c r="AB26">
        <f t="shared" si="31"/>
        <v>-14.101269772739816</v>
      </c>
      <c r="AC26" t="str">
        <f t="shared" si="32"/>
        <v/>
      </c>
      <c r="AE26" t="s">
        <v>29</v>
      </c>
      <c r="AF26" s="4">
        <f t="shared" si="23"/>
        <v>689.77935911838995</v>
      </c>
      <c r="AG26">
        <f t="shared" si="24"/>
        <v>3.6929157167301811E+299</v>
      </c>
      <c r="AH26">
        <f t="shared" si="25"/>
        <v>3.6929194096477348E+299</v>
      </c>
      <c r="AI26">
        <f t="shared" si="26"/>
        <v>3.6929120238163203E+299</v>
      </c>
      <c r="AJ26">
        <f t="shared" si="27"/>
        <v>3.6929157072200321E+299</v>
      </c>
      <c r="AK26">
        <f t="shared" si="28"/>
        <v>688.77935911581471</v>
      </c>
      <c r="AL26" t="str">
        <f t="shared" si="29"/>
        <v/>
      </c>
    </row>
    <row r="27" spans="1:38" x14ac:dyDescent="0.25">
      <c r="V27" t="s">
        <v>14</v>
      </c>
      <c r="W27" s="4">
        <f t="shared" si="37"/>
        <v>-14.101269772739816</v>
      </c>
      <c r="X27">
        <f t="shared" si="30"/>
        <v>0</v>
      </c>
      <c r="Y27">
        <f t="shared" si="38"/>
        <v>-5.003107483858571E-9</v>
      </c>
      <c r="Z27">
        <f t="shared" si="39"/>
        <v>5.0031050413679168E-9</v>
      </c>
      <c r="AA27">
        <f t="shared" si="40"/>
        <v>-5.0031062626132439E-3</v>
      </c>
      <c r="AB27">
        <f t="shared" si="31"/>
        <v>-14.101269772739816</v>
      </c>
      <c r="AC27" t="str">
        <f t="shared" si="32"/>
        <v>STOP</v>
      </c>
      <c r="AE27" t="s">
        <v>30</v>
      </c>
      <c r="AF27" s="4">
        <f t="shared" si="23"/>
        <v>688.77935911581471</v>
      </c>
      <c r="AG27">
        <f t="shared" si="24"/>
        <v>1.3585477666653566E+299</v>
      </c>
      <c r="AH27">
        <f t="shared" si="25"/>
        <v>1.3585491252137992E+299</v>
      </c>
      <c r="AI27">
        <f t="shared" si="26"/>
        <v>1.3585464081182726E+299</v>
      </c>
      <c r="AJ27">
        <f t="shared" si="27"/>
        <v>1.3585477632777672E+299</v>
      </c>
      <c r="AK27">
        <f t="shared" si="28"/>
        <v>687.77935911332122</v>
      </c>
      <c r="AL27" t="str">
        <f t="shared" si="29"/>
        <v/>
      </c>
    </row>
    <row r="28" spans="1:38" x14ac:dyDescent="0.25">
      <c r="V28" t="s">
        <v>15</v>
      </c>
      <c r="W28" s="4">
        <f t="shared" si="37"/>
        <v>-14.101269772739816</v>
      </c>
      <c r="X28">
        <f t="shared" si="30"/>
        <v>0</v>
      </c>
      <c r="Y28">
        <f t="shared" si="38"/>
        <v>-5.003107483858571E-9</v>
      </c>
      <c r="Z28">
        <f t="shared" si="39"/>
        <v>5.0031050413679168E-9</v>
      </c>
      <c r="AA28">
        <f t="shared" si="40"/>
        <v>-5.0031062626132439E-3</v>
      </c>
      <c r="AB28">
        <f t="shared" si="31"/>
        <v>-14.101269772739816</v>
      </c>
      <c r="AC28" t="str">
        <f t="shared" si="32"/>
        <v/>
      </c>
      <c r="AE28" t="s">
        <v>31</v>
      </c>
      <c r="AF28" s="4">
        <f t="shared" si="23"/>
        <v>687.77935911332122</v>
      </c>
      <c r="AG28">
        <f t="shared" si="24"/>
        <v>4.9978179195935979E+298</v>
      </c>
      <c r="AH28">
        <f t="shared" si="25"/>
        <v>4.9978229174140046E+298</v>
      </c>
      <c r="AI28">
        <f t="shared" si="26"/>
        <v>4.9978129217781905E+298</v>
      </c>
      <c r="AJ28">
        <f t="shared" si="27"/>
        <v>4.9978179070588456E+298</v>
      </c>
      <c r="AK28">
        <f t="shared" si="28"/>
        <v>686.77935911081317</v>
      </c>
      <c r="AL28" t="str">
        <f t="shared" si="29"/>
        <v/>
      </c>
    </row>
    <row r="29" spans="1:38" x14ac:dyDescent="0.25">
      <c r="W29" s="4"/>
      <c r="AE29" t="s">
        <v>32</v>
      </c>
      <c r="AF29" s="4">
        <f t="shared" si="23"/>
        <v>686.77935911081317</v>
      </c>
      <c r="AG29">
        <f t="shared" si="24"/>
        <v>1.8385944587254351E+298</v>
      </c>
      <c r="AH29">
        <f t="shared" si="25"/>
        <v>1.8385962973208084E+298</v>
      </c>
      <c r="AI29">
        <f t="shared" si="26"/>
        <v>1.8385926201319003E+298</v>
      </c>
      <c r="AJ29">
        <f t="shared" si="27"/>
        <v>1.8385944540845108E+298</v>
      </c>
      <c r="AK29">
        <f t="shared" si="28"/>
        <v>685.77935910828899</v>
      </c>
      <c r="AL29" t="str">
        <f t="shared" si="29"/>
        <v/>
      </c>
    </row>
    <row r="30" spans="1:38" x14ac:dyDescent="0.25">
      <c r="A30" t="s">
        <v>204</v>
      </c>
      <c r="B30" s="12">
        <f>B54</f>
        <v>0.76765326620127883</v>
      </c>
      <c r="W30" s="4"/>
      <c r="AE30" t="s">
        <v>33</v>
      </c>
      <c r="AF30" s="4">
        <f t="shared" si="23"/>
        <v>685.77935910828899</v>
      </c>
      <c r="AG30">
        <f t="shared" si="24"/>
        <v>6.7638110030950988E+297</v>
      </c>
      <c r="AH30">
        <f t="shared" si="25"/>
        <v>6.763817766909467E+297</v>
      </c>
      <c r="AI30">
        <f t="shared" si="26"/>
        <v>6.7638042392874954E+297</v>
      </c>
      <c r="AJ30">
        <f t="shared" si="27"/>
        <v>6.7638109857683244E+297</v>
      </c>
      <c r="AK30">
        <f t="shared" si="28"/>
        <v>684.77935910572728</v>
      </c>
      <c r="AL30" t="str">
        <f t="shared" si="29"/>
        <v/>
      </c>
    </row>
    <row r="31" spans="1:38" x14ac:dyDescent="0.25">
      <c r="B31" s="3" t="s">
        <v>205</v>
      </c>
      <c r="C31" s="2" t="s">
        <v>8</v>
      </c>
      <c r="D31" s="2" t="s">
        <v>7</v>
      </c>
      <c r="E31" s="2" t="s">
        <v>9</v>
      </c>
      <c r="F31" s="2" t="s">
        <v>10</v>
      </c>
      <c r="G31" s="2" t="s">
        <v>11</v>
      </c>
      <c r="H31" s="2" t="s">
        <v>12</v>
      </c>
      <c r="I31" s="2" t="s">
        <v>6</v>
      </c>
      <c r="J31" s="2" t="s">
        <v>256</v>
      </c>
      <c r="K31" s="2" t="s">
        <v>265</v>
      </c>
      <c r="M31" t="s">
        <v>204</v>
      </c>
      <c r="N31" s="12" cm="1">
        <f t="array" aca="1" ref="N31" ca="1">INDIRECT(_xlfn.TEXTBEFORE(ADDRESS(1,COLUMN(N30),2),"$")&amp;MATCH("STOP",T:T,0),1)</f>
        <v>0.76765326620127905</v>
      </c>
      <c r="V31" t="s">
        <v>204</v>
      </c>
      <c r="W31" s="12">
        <f>W73</f>
        <v>0.76765326620127883</v>
      </c>
      <c r="AE31" t="s">
        <v>34</v>
      </c>
      <c r="AF31" s="4">
        <f t="shared" si="23"/>
        <v>684.77935910572728</v>
      </c>
      <c r="AG31">
        <f t="shared" si="24"/>
        <v>2.4882670056336705E+297</v>
      </c>
      <c r="AH31">
        <f t="shared" si="25"/>
        <v>2.4882694939019139E+297</v>
      </c>
      <c r="AI31">
        <f t="shared" si="26"/>
        <v>2.4882645173679152E+297</v>
      </c>
      <c r="AJ31">
        <f t="shared" si="27"/>
        <v>2.4882669993694973E+297</v>
      </c>
      <c r="AK31">
        <f t="shared" si="28"/>
        <v>683.7793591032098</v>
      </c>
      <c r="AL31" t="str">
        <f t="shared" si="29"/>
        <v/>
      </c>
    </row>
    <row r="32" spans="1:38" x14ac:dyDescent="0.25">
      <c r="A32" t="s">
        <v>1</v>
      </c>
      <c r="B32">
        <v>0.03</v>
      </c>
      <c r="C32">
        <f>EXP(B32)-ATAN(B32)-1.5</f>
        <v>-0.49953647090336095</v>
      </c>
      <c r="D32">
        <f>EXP(B32+E$6)-ATAN(B32+E$6)-1.5</f>
        <v>-0.49953643954909133</v>
      </c>
      <c r="E32">
        <f>EXP(B32-E$6)-ATAN(B32-E$6)-1.5</f>
        <v>-0.49953650225654056</v>
      </c>
      <c r="F32">
        <f>(D32-E32)/(E$6*2)</f>
        <v>3.1353724616600687E-2</v>
      </c>
      <c r="G32">
        <f>B32-C32/F32</f>
        <v>15.962284824587446</v>
      </c>
      <c r="H32" t="str">
        <f>IF(B33=B32,"STOP","")</f>
        <v/>
      </c>
      <c r="I32">
        <f t="shared" ref="I32:I53" si="49">ABS(B32-B$30)</f>
        <v>0.7376532662012788</v>
      </c>
      <c r="J32">
        <v>0.8</v>
      </c>
      <c r="K32">
        <v>1</v>
      </c>
      <c r="N32" s="3" t="s">
        <v>205</v>
      </c>
      <c r="O32" s="2" t="s">
        <v>8</v>
      </c>
      <c r="P32" s="2" t="s">
        <v>7</v>
      </c>
      <c r="Q32" s="2" t="s">
        <v>9</v>
      </c>
      <c r="R32" s="2" t="s">
        <v>10</v>
      </c>
      <c r="S32" s="2" t="s">
        <v>11</v>
      </c>
      <c r="T32" s="2" t="s">
        <v>12</v>
      </c>
      <c r="W32" s="3" t="s">
        <v>205</v>
      </c>
      <c r="X32" s="2" t="s">
        <v>8</v>
      </c>
      <c r="Y32" s="2" t="s">
        <v>7</v>
      </c>
      <c r="Z32" s="2" t="s">
        <v>9</v>
      </c>
      <c r="AA32" s="2" t="s">
        <v>10</v>
      </c>
      <c r="AB32" s="2" t="s">
        <v>11</v>
      </c>
      <c r="AC32" s="2" t="s">
        <v>12</v>
      </c>
      <c r="AE32" t="s">
        <v>35</v>
      </c>
      <c r="AF32" s="4">
        <f t="shared" si="23"/>
        <v>683.7793591032098</v>
      </c>
      <c r="AG32">
        <f t="shared" si="24"/>
        <v>9.1538227321339497E+296</v>
      </c>
      <c r="AH32">
        <f t="shared" si="25"/>
        <v>9.153831885961236E+296</v>
      </c>
      <c r="AI32">
        <f t="shared" si="26"/>
        <v>9.1538135783158179E+296</v>
      </c>
      <c r="AJ32">
        <f t="shared" si="27"/>
        <v>9.1538227090401516E+296</v>
      </c>
      <c r="AK32">
        <f t="shared" si="28"/>
        <v>682.77935910068697</v>
      </c>
      <c r="AL32" t="str">
        <f t="shared" si="29"/>
        <v/>
      </c>
    </row>
    <row r="33" spans="1:38" x14ac:dyDescent="0.25">
      <c r="A33" t="s">
        <v>2</v>
      </c>
      <c r="B33">
        <f>G32</f>
        <v>15.962284824587446</v>
      </c>
      <c r="C33">
        <f t="shared" ref="C33:C54" si="50">EXP(B33)-ATAN(B33)-1.5</f>
        <v>8557207.5409472026</v>
      </c>
      <c r="D33">
        <f>EXP(B33+E$6)-ATAN(B33+E$6)-1.5</f>
        <v>8557216.0981620196</v>
      </c>
      <c r="E33">
        <f>EXP(B33-E$6)-ATAN(B33-E$6)-1.5</f>
        <v>8557198.9837409426</v>
      </c>
      <c r="F33">
        <f>(D33-E33)/(E$6*2)</f>
        <v>8557210.5385363102</v>
      </c>
      <c r="G33">
        <f t="shared" ref="G33:G36" si="51">B33-C33/F33</f>
        <v>14.962285174887242</v>
      </c>
      <c r="H33" t="str">
        <f t="shared" ref="H33:H36" si="52">IF(B34=B33,"STOP","")</f>
        <v/>
      </c>
      <c r="I33">
        <f t="shared" si="49"/>
        <v>15.194631558386167</v>
      </c>
      <c r="J33">
        <f t="shared" ref="J33:J53" si="53">J$32*I33-I34</f>
        <v>-2.0389266619770297</v>
      </c>
      <c r="K33">
        <f>K$32*I33-I34^2</f>
        <v>-186.29294346469953</v>
      </c>
      <c r="M33" t="s">
        <v>1</v>
      </c>
      <c r="N33">
        <v>-0.01</v>
      </c>
      <c r="O33">
        <f>EXP(N33)-ATAN(N33)-1.5</f>
        <v>-0.49995049956416659</v>
      </c>
      <c r="P33">
        <f>EXP(N33+E$6)-ATAN(N33+E$6)-1.5</f>
        <v>-0.49995050941385788</v>
      </c>
      <c r="Q33">
        <f>EXP(N33-E$6)-ATAN(N33-E$6)-1.5</f>
        <v>-0.49995048971350542</v>
      </c>
      <c r="R33">
        <f>(P33-Q33)/(E$6*2)</f>
        <v>-9.8501762302305451E-3</v>
      </c>
      <c r="S33">
        <f>N33-O33/R33</f>
        <v>-50.765487808411031</v>
      </c>
      <c r="T33" t="str">
        <f>IF(N34=N33,"STOP","")</f>
        <v/>
      </c>
      <c r="V33" t="s">
        <v>1</v>
      </c>
      <c r="W33">
        <v>-28.22</v>
      </c>
      <c r="X33">
        <f t="shared" ref="X33:X74" si="54">EXP(W33)-ATAN(W33)-1.5</f>
        <v>3.5375286812332485E-2</v>
      </c>
      <c r="Y33">
        <f>EXP(W33+E$6)-ATAN(W33+E$6)-1.5</f>
        <v>3.5375285558207015E-2</v>
      </c>
      <c r="Z33">
        <f>EXP(W33-E$6)-ATAN(W33-E$6)-1.5</f>
        <v>3.5375288066457955E-2</v>
      </c>
      <c r="AA33">
        <f>(Y33-Z33)/(E$6*2)</f>
        <v>-1.2541254701403659E-3</v>
      </c>
      <c r="AB33">
        <f t="shared" ref="AB33:AB42" si="55">W33-X33/AA33</f>
        <v>-1.2864705655672992E-2</v>
      </c>
      <c r="AC33" t="str">
        <f t="shared" ref="AC33:AC42" si="56">IF(W34=W33,"STOP","")</f>
        <v/>
      </c>
      <c r="AE33" t="s">
        <v>36</v>
      </c>
      <c r="AF33" s="4">
        <f t="shared" si="23"/>
        <v>682.77935910068697</v>
      </c>
      <c r="AG33">
        <f t="shared" si="24"/>
        <v>3.367503182784263E+296</v>
      </c>
      <c r="AH33">
        <f t="shared" si="25"/>
        <v>3.367506550289121E+296</v>
      </c>
      <c r="AI33">
        <f t="shared" si="26"/>
        <v>3.3674998152827726E+296</v>
      </c>
      <c r="AJ33">
        <f t="shared" si="27"/>
        <v>3.3675031741707503E+296</v>
      </c>
      <c r="AK33">
        <f t="shared" si="28"/>
        <v>681.77935909812913</v>
      </c>
      <c r="AL33" t="str">
        <f t="shared" si="29"/>
        <v/>
      </c>
    </row>
    <row r="34" spans="1:38" x14ac:dyDescent="0.25">
      <c r="A34" t="s">
        <v>3</v>
      </c>
      <c r="B34">
        <f>G33</f>
        <v>14.962285174887242</v>
      </c>
      <c r="C34">
        <f t="shared" si="50"/>
        <v>3148019.9335085708</v>
      </c>
      <c r="D34">
        <f>EXP(B34+E$6)-ATAN(B34+E$6)-1.5</f>
        <v>3148023.0815330753</v>
      </c>
      <c r="E34">
        <f>EXP(B34-E$6)-ATAN(B34-E$6)-1.5</f>
        <v>3148016.7854872136</v>
      </c>
      <c r="F34">
        <f>(D34-E34)/(E$6*2)</f>
        <v>3148022.930836305</v>
      </c>
      <c r="G34">
        <f t="shared" si="51"/>
        <v>13.962286127017451</v>
      </c>
      <c r="H34" t="str">
        <f t="shared" si="52"/>
        <v/>
      </c>
      <c r="I34">
        <f t="shared" si="49"/>
        <v>14.194631908685963</v>
      </c>
      <c r="J34">
        <f t="shared" si="53"/>
        <v>-1.8389273338674013</v>
      </c>
      <c r="K34">
        <f t="shared" ref="K34:K53" si="57">K$32*I34-I35^2</f>
        <v>-159.90370442304402</v>
      </c>
      <c r="M34" t="s">
        <v>2</v>
      </c>
      <c r="N34">
        <f>S33</f>
        <v>-50.765487808411031</v>
      </c>
      <c r="O34">
        <f t="shared" ref="O34:O99" si="58">EXP(N34)-ATAN(N34)-1.5</f>
        <v>5.1100452084325232E-2</v>
      </c>
      <c r="P34">
        <f t="shared" ref="P34:P97" si="59">EXP(N34+E$6)-ATAN(N34+E$6)-1.5</f>
        <v>5.1100451696447946E-2</v>
      </c>
      <c r="Q34">
        <f t="shared" ref="Q34:Q97" si="60">EXP(N34-E$6)-ATAN(N34-E$6)-1.5</f>
        <v>5.1100452472202518E-2</v>
      </c>
      <c r="R34">
        <f t="shared" ref="R34:R97" si="61">(P34-Q34)/(E$6*2)</f>
        <v>-3.8787728584566139E-4</v>
      </c>
      <c r="S34">
        <f t="shared" ref="S34:S88" si="62">N34-O34/R34</f>
        <v>80.978375390266706</v>
      </c>
      <c r="T34" t="str">
        <f t="shared" ref="T34:T88" si="63">IF(N35=N34,"STOP","")</f>
        <v/>
      </c>
      <c r="V34" t="s">
        <v>2</v>
      </c>
      <c r="W34">
        <f>AB33</f>
        <v>-1.2864705655672992E-2</v>
      </c>
      <c r="X34">
        <f>EXP(W34)-ATAN(W34)-1.5</f>
        <v>-0.49991831302397571</v>
      </c>
      <c r="Y34">
        <f>EXP(W34+E$6)-ATAN(W34+E$6)-1.5</f>
        <v>-0.49991832564033079</v>
      </c>
      <c r="Z34">
        <f t="shared" ref="Z34:Z83" si="64">EXP(W34-E$6)-ATAN(W34-E$6)-1.5</f>
        <v>-0.49991830040665941</v>
      </c>
      <c r="AA34">
        <f t="shared" ref="AA34:AA74" si="65">(Y34-Z34)/(E$6*2)</f>
        <v>-1.2616835687317973E-2</v>
      </c>
      <c r="AB34">
        <f t="shared" si="55"/>
        <v>-39.635978251192064</v>
      </c>
      <c r="AC34" t="str">
        <f t="shared" si="56"/>
        <v/>
      </c>
      <c r="AE34" t="s">
        <v>37</v>
      </c>
      <c r="AF34" s="4">
        <f t="shared" si="23"/>
        <v>681.77935909812913</v>
      </c>
      <c r="AG34">
        <f t="shared" si="24"/>
        <v>1.2388351858569856E+296</v>
      </c>
      <c r="AH34">
        <f t="shared" si="25"/>
        <v>1.2388364246927878E+296</v>
      </c>
      <c r="AI34">
        <f t="shared" si="26"/>
        <v>1.2388339470224224E+296</v>
      </c>
      <c r="AJ34">
        <f t="shared" si="27"/>
        <v>1.2388351827094402E+296</v>
      </c>
      <c r="AK34">
        <f t="shared" si="28"/>
        <v>680.77935909558846</v>
      </c>
      <c r="AL34" t="str">
        <f t="shared" si="29"/>
        <v/>
      </c>
    </row>
    <row r="35" spans="1:38" x14ac:dyDescent="0.25">
      <c r="A35" t="s">
        <v>4</v>
      </c>
      <c r="B35">
        <f>G34</f>
        <v>13.962286127017451</v>
      </c>
      <c r="C35">
        <f t="shared" si="50"/>
        <v>1158091.0224267978</v>
      </c>
      <c r="D35">
        <f>EXP(B35+E$6)-ATAN(B35+E$6)-1.5</f>
        <v>1158092.1805213927</v>
      </c>
      <c r="E35">
        <f>EXP(B35-E$6)-ATAN(B35-E$6)-1.5</f>
        <v>1158089.8643333612</v>
      </c>
      <c r="F35">
        <f>(D35-E35)/(E$6*2)</f>
        <v>1158094.0157873556</v>
      </c>
      <c r="G35">
        <f t="shared" si="51"/>
        <v>12.962288711747634</v>
      </c>
      <c r="H35" t="str">
        <f t="shared" si="52"/>
        <v/>
      </c>
      <c r="I35">
        <f t="shared" si="49"/>
        <v>13.194632860816172</v>
      </c>
      <c r="J35">
        <f t="shared" si="53"/>
        <v>-1.6389291568934166</v>
      </c>
      <c r="K35">
        <f t="shared" si="57"/>
        <v>-135.5145007889594</v>
      </c>
      <c r="M35" t="s">
        <v>3</v>
      </c>
      <c r="N35">
        <f>S34</f>
        <v>80.978375390266706</v>
      </c>
      <c r="O35">
        <f t="shared" si="58"/>
        <v>1.4738781667128712E+35</v>
      </c>
      <c r="P35">
        <f t="shared" si="59"/>
        <v>1.473879640591771E+35</v>
      </c>
      <c r="Q35">
        <f t="shared" si="60"/>
        <v>1.473876692835445E+35</v>
      </c>
      <c r="R35">
        <f t="shared" si="61"/>
        <v>1.4738781629967309E+35</v>
      </c>
      <c r="S35">
        <f t="shared" si="62"/>
        <v>79.978375387745373</v>
      </c>
      <c r="T35" t="str">
        <f t="shared" si="63"/>
        <v/>
      </c>
      <c r="V35" t="s">
        <v>3</v>
      </c>
      <c r="W35">
        <f>AB34</f>
        <v>-39.635978251192064</v>
      </c>
      <c r="X35">
        <f>EXP(W35)-ATAN(W35)-1.5</f>
        <v>4.5572074802487927E-2</v>
      </c>
      <c r="Y35">
        <f t="shared" ref="Y35:Y74" si="66">EXP(W35+E$6)-ATAN(W35+E$6)-1.5</f>
        <v>4.557207416636011E-2</v>
      </c>
      <c r="Z35">
        <f t="shared" si="64"/>
        <v>4.5572075438615967E-2</v>
      </c>
      <c r="AA35">
        <f t="shared" si="65"/>
        <v>-6.3612792811085228E-4</v>
      </c>
      <c r="AB35">
        <f t="shared" si="55"/>
        <v>32.003817438687612</v>
      </c>
      <c r="AC35" t="str">
        <f t="shared" si="56"/>
        <v/>
      </c>
      <c r="AE35" t="s">
        <v>38</v>
      </c>
      <c r="AF35" s="4">
        <f t="shared" si="23"/>
        <v>680.77935909558846</v>
      </c>
      <c r="AG35">
        <f t="shared" si="24"/>
        <v>4.5574199471869618E+295</v>
      </c>
      <c r="AH35">
        <f t="shared" si="25"/>
        <v>4.5574245046091764E+295</v>
      </c>
      <c r="AI35">
        <f t="shared" si="26"/>
        <v>4.5574153897693051E+295</v>
      </c>
      <c r="AJ35">
        <f t="shared" si="27"/>
        <v>4.5574199356845483E+295</v>
      </c>
      <c r="AK35">
        <f t="shared" si="28"/>
        <v>679.77935909306461</v>
      </c>
      <c r="AL35" t="str">
        <f t="shared" si="29"/>
        <v/>
      </c>
    </row>
    <row r="36" spans="1:38" x14ac:dyDescent="0.25">
      <c r="A36" t="s">
        <v>5</v>
      </c>
      <c r="B36" s="4">
        <f>G35</f>
        <v>12.962288711747634</v>
      </c>
      <c r="C36">
        <f t="shared" si="50"/>
        <v>426037.08893097949</v>
      </c>
      <c r="D36">
        <f>EXP(B36+E$6)-ATAN(B36+E$6)-1.5</f>
        <v>426037.51497126906</v>
      </c>
      <c r="E36">
        <f>EXP(B36-E$6)-ATAN(B36-E$6)-1.5</f>
        <v>426036.66289111605</v>
      </c>
      <c r="F36">
        <f>(D36-E36)/(E$6*2)</f>
        <v>426040.07650515996</v>
      </c>
      <c r="G36">
        <f t="shared" si="51"/>
        <v>11.962295724172861</v>
      </c>
      <c r="H36" t="str">
        <f t="shared" si="52"/>
        <v/>
      </c>
      <c r="I36">
        <f t="shared" si="49"/>
        <v>12.194635445546355</v>
      </c>
      <c r="J36">
        <f t="shared" si="53"/>
        <v>-1.4389341015344979</v>
      </c>
      <c r="K36">
        <f t="shared" si="57"/>
        <v>-113.12538431627368</v>
      </c>
      <c r="M36" t="s">
        <v>4</v>
      </c>
      <c r="N36">
        <f>S35</f>
        <v>79.978375387745373</v>
      </c>
      <c r="O36">
        <f t="shared" si="58"/>
        <v>5.4220947495803061E+34</v>
      </c>
      <c r="P36">
        <f t="shared" si="59"/>
        <v>5.4221001716777527E+34</v>
      </c>
      <c r="Q36">
        <f t="shared" si="60"/>
        <v>5.422089327488281E+34</v>
      </c>
      <c r="R36">
        <f t="shared" si="61"/>
        <v>5.4220947358216037E+34</v>
      </c>
      <c r="S36">
        <f t="shared" si="62"/>
        <v>78.978375385207855</v>
      </c>
      <c r="T36" t="str">
        <f t="shared" si="63"/>
        <v/>
      </c>
      <c r="V36" t="s">
        <v>4</v>
      </c>
      <c r="W36">
        <f>AB35</f>
        <v>32.003817438687612</v>
      </c>
      <c r="X36">
        <f>EXP(W36)-ATAN(W36)-1.5</f>
        <v>79264972531815.594</v>
      </c>
      <c r="Y36">
        <f t="shared" si="66"/>
        <v>79265051796827.563</v>
      </c>
      <c r="Z36">
        <f t="shared" si="64"/>
        <v>79264893266882.891</v>
      </c>
      <c r="AA36">
        <f t="shared" si="65"/>
        <v>79264972335937.5</v>
      </c>
      <c r="AB36">
        <f t="shared" si="55"/>
        <v>31.00381743621643</v>
      </c>
      <c r="AC36" t="str">
        <f t="shared" si="56"/>
        <v/>
      </c>
      <c r="AE36" t="s">
        <v>39</v>
      </c>
      <c r="AF36" s="4">
        <f t="shared" si="23"/>
        <v>679.77935909306461</v>
      </c>
      <c r="AG36">
        <f t="shared" si="24"/>
        <v>1.6765810991232882E+295</v>
      </c>
      <c r="AH36">
        <f t="shared" si="25"/>
        <v>1.6765827757052213E+295</v>
      </c>
      <c r="AI36">
        <f t="shared" si="26"/>
        <v>1.6765794225430316E+295</v>
      </c>
      <c r="AJ36">
        <f t="shared" si="27"/>
        <v>1.6765810948248956E+295</v>
      </c>
      <c r="AK36">
        <f t="shared" si="28"/>
        <v>678.77935909050086</v>
      </c>
      <c r="AL36" t="str">
        <f t="shared" si="29"/>
        <v/>
      </c>
    </row>
    <row r="37" spans="1:38" x14ac:dyDescent="0.25">
      <c r="A37" t="s">
        <v>13</v>
      </c>
      <c r="B37" s="4">
        <f t="shared" ref="B37:B47" si="67">G36</f>
        <v>11.962295724172861</v>
      </c>
      <c r="C37">
        <f t="shared" si="50"/>
        <v>156729.49922916791</v>
      </c>
      <c r="D37">
        <f t="shared" ref="D37:D47" si="68">EXP(B37+E$6)-ATAN(B37+E$6)-1.5</f>
        <v>156729.65596172586</v>
      </c>
      <c r="E37">
        <f t="shared" ref="E37:E47" si="69">EXP(B37-E$6)-ATAN(B37-E$6)-1.5</f>
        <v>156729.34249676674</v>
      </c>
      <c r="F37">
        <f t="shared" ref="F37:F47" si="70">(D37-E37)/(E$6*2)</f>
        <v>156732.47956146952</v>
      </c>
      <c r="G37">
        <f t="shared" ref="G37:G47" si="71">B37-C37/F37</f>
        <v>10.962314739582494</v>
      </c>
      <c r="H37" t="str">
        <f t="shared" ref="H37:H47" si="72">IF(B38=B37,"STOP","")</f>
        <v/>
      </c>
      <c r="I37">
        <f t="shared" si="49"/>
        <v>11.194642457971582</v>
      </c>
      <c r="J37">
        <f t="shared" si="53"/>
        <v>-1.2389475070039495</v>
      </c>
      <c r="K37">
        <f t="shared" si="57"/>
        <v>-92.736480098871667</v>
      </c>
      <c r="M37" t="s">
        <v>5</v>
      </c>
      <c r="N37" s="4">
        <f>S36</f>
        <v>78.978375385207855</v>
      </c>
      <c r="O37">
        <f t="shared" si="58"/>
        <v>1.9946771813926839E+34</v>
      </c>
      <c r="P37">
        <f t="shared" si="59"/>
        <v>1.9946791760708575E+34</v>
      </c>
      <c r="Q37">
        <f t="shared" si="60"/>
        <v>1.9946751867165048E+34</v>
      </c>
      <c r="R37">
        <f t="shared" si="61"/>
        <v>1.9946771763445382E+34</v>
      </c>
      <c r="S37">
        <f t="shared" si="62"/>
        <v>77.978375382677044</v>
      </c>
      <c r="T37" t="str">
        <f t="shared" si="63"/>
        <v/>
      </c>
      <c r="V37" t="s">
        <v>5</v>
      </c>
      <c r="W37" s="4">
        <f>AB36</f>
        <v>31.00381743621643</v>
      </c>
      <c r="X37">
        <f t="shared" si="54"/>
        <v>29159953727412.566</v>
      </c>
      <c r="Y37">
        <f t="shared" si="66"/>
        <v>29159982887380.902</v>
      </c>
      <c r="Z37">
        <f t="shared" si="64"/>
        <v>29159924567473.387</v>
      </c>
      <c r="AA37">
        <f t="shared" si="65"/>
        <v>29159953757812.5</v>
      </c>
      <c r="AB37">
        <f t="shared" si="55"/>
        <v>30.003817437258952</v>
      </c>
      <c r="AC37" t="str">
        <f t="shared" si="56"/>
        <v/>
      </c>
      <c r="AE37" t="s">
        <v>40</v>
      </c>
      <c r="AF37" s="4">
        <f t="shared" si="23"/>
        <v>678.77935909050086</v>
      </c>
      <c r="AG37">
        <f t="shared" si="24"/>
        <v>6.1677971624280762E+294</v>
      </c>
      <c r="AH37">
        <f t="shared" si="25"/>
        <v>6.1678033302283069E+294</v>
      </c>
      <c r="AI37">
        <f t="shared" si="26"/>
        <v>6.1677909946340139E+294</v>
      </c>
      <c r="AJ37">
        <f t="shared" si="27"/>
        <v>6.1677971465260668E+294</v>
      </c>
      <c r="AK37">
        <f t="shared" si="28"/>
        <v>677.77935908792267</v>
      </c>
      <c r="AL37" t="str">
        <f t="shared" si="29"/>
        <v/>
      </c>
    </row>
    <row r="38" spans="1:38" x14ac:dyDescent="0.25">
      <c r="A38" t="s">
        <v>14</v>
      </c>
      <c r="B38" s="4">
        <f t="shared" si="67"/>
        <v>10.962314739582494</v>
      </c>
      <c r="C38">
        <f t="shared" si="50"/>
        <v>57656.776179398592</v>
      </c>
      <c r="D38">
        <f t="shared" si="68"/>
        <v>57656.833839175131</v>
      </c>
      <c r="E38">
        <f t="shared" si="69"/>
        <v>57656.718519679707</v>
      </c>
      <c r="F38">
        <f t="shared" si="70"/>
        <v>57659.747712023091</v>
      </c>
      <c r="G38">
        <f t="shared" si="71"/>
        <v>9.9623662752333146</v>
      </c>
      <c r="H38" t="str">
        <f t="shared" si="72"/>
        <v/>
      </c>
      <c r="I38">
        <f t="shared" si="49"/>
        <v>10.194661473381215</v>
      </c>
      <c r="J38">
        <f t="shared" si="53"/>
        <v>-1.038983830327064</v>
      </c>
      <c r="K38">
        <f t="shared" si="57"/>
        <v>-74.348085845081741</v>
      </c>
      <c r="M38" t="s">
        <v>13</v>
      </c>
      <c r="N38" s="4">
        <f t="shared" ref="N38:N88" si="73">S37</f>
        <v>77.978375382677044</v>
      </c>
      <c r="O38">
        <f t="shared" si="58"/>
        <v>7.3380072495105714E+33</v>
      </c>
      <c r="P38">
        <f t="shared" si="59"/>
        <v>7.3380145875214719E+33</v>
      </c>
      <c r="Q38">
        <f t="shared" si="60"/>
        <v>7.3379999115070093E+33</v>
      </c>
      <c r="R38">
        <f t="shared" si="61"/>
        <v>7.3380072312863481E+33</v>
      </c>
      <c r="S38">
        <f t="shared" si="62"/>
        <v>76.978375380193512</v>
      </c>
      <c r="T38" t="str">
        <f t="shared" si="63"/>
        <v/>
      </c>
      <c r="V38" t="s">
        <v>13</v>
      </c>
      <c r="W38" s="4">
        <f>AB37</f>
        <v>30.003817437258952</v>
      </c>
      <c r="X38">
        <f t="shared" si="54"/>
        <v>10727347493007.232</v>
      </c>
      <c r="Y38">
        <f t="shared" si="66"/>
        <v>10727358220360.102</v>
      </c>
      <c r="Z38">
        <f t="shared" si="64"/>
        <v>10727336765665.092</v>
      </c>
      <c r="AA38">
        <f t="shared" si="65"/>
        <v>10727347504882.813</v>
      </c>
      <c r="AB38">
        <f t="shared" si="55"/>
        <v>29.003817438365989</v>
      </c>
      <c r="AC38" t="str">
        <f t="shared" si="56"/>
        <v/>
      </c>
      <c r="AE38" t="s">
        <v>41</v>
      </c>
      <c r="AF38" s="4">
        <f t="shared" si="23"/>
        <v>677.77935908792267</v>
      </c>
      <c r="AG38">
        <f t="shared" si="24"/>
        <v>2.2690057675229202E+294</v>
      </c>
      <c r="AH38">
        <f t="shared" si="25"/>
        <v>2.2690080365298165E+294</v>
      </c>
      <c r="AI38">
        <f t="shared" si="26"/>
        <v>2.2690034985182928E+294</v>
      </c>
      <c r="AJ38">
        <f t="shared" si="27"/>
        <v>2.2690057618319893E+294</v>
      </c>
      <c r="AK38">
        <f t="shared" si="28"/>
        <v>676.77935908541451</v>
      </c>
      <c r="AL38" t="str">
        <f t="shared" si="29"/>
        <v/>
      </c>
    </row>
    <row r="39" spans="1:38" x14ac:dyDescent="0.25">
      <c r="A39" t="s">
        <v>15</v>
      </c>
      <c r="B39" s="4">
        <f t="shared" si="67"/>
        <v>9.9623662752333146</v>
      </c>
      <c r="C39">
        <f t="shared" si="50"/>
        <v>21209.961257946285</v>
      </c>
      <c r="D39">
        <f t="shared" si="68"/>
        <v>21209.982470878913</v>
      </c>
      <c r="E39">
        <f t="shared" si="69"/>
        <v>21209.940045034869</v>
      </c>
      <c r="F39">
        <f t="shared" si="70"/>
        <v>21212.922021732084</v>
      </c>
      <c r="G39">
        <f t="shared" si="71"/>
        <v>8.9625058488282576</v>
      </c>
      <c r="H39" t="str">
        <f t="shared" si="72"/>
        <v/>
      </c>
      <c r="I39">
        <f t="shared" si="49"/>
        <v>9.1947130090320357</v>
      </c>
      <c r="J39">
        <f t="shared" si="53"/>
        <v>-0.83908217540134977</v>
      </c>
      <c r="K39">
        <f t="shared" si="57"/>
        <v>-57.960895841956024</v>
      </c>
      <c r="M39" t="s">
        <v>14</v>
      </c>
      <c r="N39" s="4">
        <f t="shared" si="73"/>
        <v>76.978375380193512</v>
      </c>
      <c r="O39">
        <f t="shared" si="58"/>
        <v>2.6995019995576432E+33</v>
      </c>
      <c r="P39">
        <f t="shared" si="59"/>
        <v>2.6995046990609859E+33</v>
      </c>
      <c r="Q39">
        <f t="shared" si="60"/>
        <v>2.6994993000570001E+33</v>
      </c>
      <c r="R39">
        <f t="shared" si="61"/>
        <v>2.699501992882818E+33</v>
      </c>
      <c r="S39">
        <f t="shared" si="62"/>
        <v>75.978375377720894</v>
      </c>
      <c r="T39" t="str">
        <f t="shared" si="63"/>
        <v/>
      </c>
      <c r="V39" t="s">
        <v>14</v>
      </c>
      <c r="W39" s="4">
        <f t="shared" ref="W39:W42" si="74">AB38</f>
        <v>29.003817438365989</v>
      </c>
      <c r="X39">
        <f t="shared" si="54"/>
        <v>3946370605346.23</v>
      </c>
      <c r="Y39">
        <f t="shared" si="66"/>
        <v>3946374551718.8125</v>
      </c>
      <c r="Z39">
        <f t="shared" si="64"/>
        <v>3946366658977.5938</v>
      </c>
      <c r="AA39">
        <f t="shared" si="65"/>
        <v>3946370609375</v>
      </c>
      <c r="AB39">
        <f t="shared" si="55"/>
        <v>28.003817439386868</v>
      </c>
      <c r="AC39" t="str">
        <f t="shared" si="56"/>
        <v/>
      </c>
      <c r="AE39" t="s">
        <v>42</v>
      </c>
      <c r="AF39" s="4">
        <f t="shared" si="23"/>
        <v>676.77935908541451</v>
      </c>
      <c r="AG39">
        <f t="shared" si="24"/>
        <v>8.3472057167749948E+293</v>
      </c>
      <c r="AH39">
        <f t="shared" si="25"/>
        <v>8.3472140639848652E+293</v>
      </c>
      <c r="AI39">
        <f t="shared" si="26"/>
        <v>8.3471973695734728E+293</v>
      </c>
      <c r="AJ39">
        <f t="shared" si="27"/>
        <v>8.3472056961960618E+293</v>
      </c>
      <c r="AK39">
        <f t="shared" si="28"/>
        <v>675.7793590829491</v>
      </c>
      <c r="AL39" t="str">
        <f t="shared" si="29"/>
        <v/>
      </c>
    </row>
    <row r="40" spans="1:38" x14ac:dyDescent="0.25">
      <c r="A40" t="s">
        <v>16</v>
      </c>
      <c r="B40" s="4">
        <f t="shared" si="67"/>
        <v>8.9625058488282576</v>
      </c>
      <c r="C40">
        <f t="shared" si="50"/>
        <v>7801.9311747261336</v>
      </c>
      <c r="D40">
        <f t="shared" si="68"/>
        <v>7801.9389796085889</v>
      </c>
      <c r="E40">
        <f t="shared" si="69"/>
        <v>7801.9233698514836</v>
      </c>
      <c r="F40">
        <f t="shared" si="70"/>
        <v>7804.8785526334541</v>
      </c>
      <c r="G40">
        <f t="shared" si="71"/>
        <v>7.9628834815982543</v>
      </c>
      <c r="H40" t="str">
        <f t="shared" si="72"/>
        <v/>
      </c>
      <c r="I40">
        <f t="shared" si="49"/>
        <v>8.1948525826269787</v>
      </c>
      <c r="J40">
        <f t="shared" si="53"/>
        <v>-0.63934814929539208</v>
      </c>
      <c r="K40">
        <f t="shared" si="57"/>
        <v>-43.576485269934629</v>
      </c>
      <c r="M40" t="s">
        <v>15</v>
      </c>
      <c r="N40" s="4">
        <f t="shared" si="73"/>
        <v>75.978375377720894</v>
      </c>
      <c r="O40">
        <f t="shared" si="58"/>
        <v>9.9309128458292186E+32</v>
      </c>
      <c r="P40">
        <f t="shared" si="59"/>
        <v>9.9309227767470053E+32</v>
      </c>
      <c r="Q40">
        <f t="shared" si="60"/>
        <v>9.9309029149213629E+32</v>
      </c>
      <c r="R40">
        <f t="shared" si="61"/>
        <v>9.9309128211627008E+32</v>
      </c>
      <c r="S40">
        <f t="shared" si="62"/>
        <v>74.978375375237079</v>
      </c>
      <c r="T40" t="str">
        <f t="shared" si="63"/>
        <v/>
      </c>
      <c r="V40" t="s">
        <v>15</v>
      </c>
      <c r="W40" s="4">
        <f t="shared" si="74"/>
        <v>28.003817439386868</v>
      </c>
      <c r="X40">
        <f t="shared" si="54"/>
        <v>1451788614430.3606</v>
      </c>
      <c r="Y40">
        <f t="shared" si="66"/>
        <v>1451790066219.7024</v>
      </c>
      <c r="Z40">
        <f t="shared" si="64"/>
        <v>1451787162642.4705</v>
      </c>
      <c r="AA40">
        <f t="shared" si="65"/>
        <v>1451788615966.7969</v>
      </c>
      <c r="AB40">
        <f t="shared" si="55"/>
        <v>27.003817440445175</v>
      </c>
      <c r="AC40" t="str">
        <f t="shared" si="56"/>
        <v/>
      </c>
      <c r="AE40" t="s">
        <v>43</v>
      </c>
      <c r="AF40" s="4">
        <f t="shared" si="23"/>
        <v>675.7793590829491</v>
      </c>
      <c r="AG40">
        <f t="shared" si="24"/>
        <v>3.0707653668595498E+293</v>
      </c>
      <c r="AH40">
        <f t="shared" si="25"/>
        <v>3.0707684376264443E+293</v>
      </c>
      <c r="AI40">
        <f t="shared" si="26"/>
        <v>3.0707622960957261E+293</v>
      </c>
      <c r="AJ40">
        <f t="shared" si="27"/>
        <v>3.0707653590956438E+293</v>
      </c>
      <c r="AK40">
        <f t="shared" si="28"/>
        <v>674.77935908042082</v>
      </c>
      <c r="AL40" t="str">
        <f t="shared" si="29"/>
        <v/>
      </c>
    </row>
    <row r="41" spans="1:38" x14ac:dyDescent="0.25">
      <c r="A41" t="s">
        <v>17</v>
      </c>
      <c r="B41" s="4">
        <f t="shared" si="67"/>
        <v>7.9628834815982543</v>
      </c>
      <c r="C41">
        <f t="shared" si="50"/>
        <v>2869.3975045438337</v>
      </c>
      <c r="D41">
        <f t="shared" si="68"/>
        <v>2869.4003768731163</v>
      </c>
      <c r="E41">
        <f t="shared" si="69"/>
        <v>2869.3946322174238</v>
      </c>
      <c r="F41">
        <f t="shared" si="70"/>
        <v>2872.3278462621238</v>
      </c>
      <c r="G41">
        <f t="shared" si="71"/>
        <v>6.9639036791088218</v>
      </c>
      <c r="H41" t="str">
        <f t="shared" si="72"/>
        <v/>
      </c>
      <c r="I41">
        <f t="shared" si="49"/>
        <v>7.1952302153969754</v>
      </c>
      <c r="J41">
        <f t="shared" si="53"/>
        <v>-0.44006624058996202</v>
      </c>
      <c r="K41">
        <f t="shared" si="57"/>
        <v>-31.19828896405992</v>
      </c>
      <c r="M41" t="s">
        <v>16</v>
      </c>
      <c r="N41" s="4">
        <f t="shared" si="73"/>
        <v>74.978375375237079</v>
      </c>
      <c r="O41">
        <f t="shared" si="58"/>
        <v>3.6533786589716309E+32</v>
      </c>
      <c r="P41">
        <f t="shared" si="59"/>
        <v>3.6533823123521071E+32</v>
      </c>
      <c r="Q41">
        <f t="shared" si="60"/>
        <v>3.6533750055948081E+32</v>
      </c>
      <c r="R41">
        <f t="shared" si="61"/>
        <v>3.6533786495460631E+32</v>
      </c>
      <c r="S41">
        <f t="shared" si="62"/>
        <v>73.978375372657126</v>
      </c>
      <c r="T41" t="str">
        <f t="shared" si="63"/>
        <v/>
      </c>
      <c r="V41" t="s">
        <v>16</v>
      </c>
      <c r="W41" s="4">
        <f t="shared" si="74"/>
        <v>27.003817440445175</v>
      </c>
      <c r="X41">
        <f t="shared" si="54"/>
        <v>534083184739.0105</v>
      </c>
      <c r="Y41">
        <f t="shared" si="66"/>
        <v>534083718822.46283</v>
      </c>
      <c r="Z41">
        <f t="shared" si="64"/>
        <v>534082650656.09222</v>
      </c>
      <c r="AA41">
        <f t="shared" si="65"/>
        <v>534083185302.73438</v>
      </c>
      <c r="AB41">
        <f t="shared" si="55"/>
        <v>26.003817441500672</v>
      </c>
      <c r="AC41" t="str">
        <f t="shared" si="56"/>
        <v/>
      </c>
      <c r="AE41" t="s">
        <v>44</v>
      </c>
      <c r="AF41" s="4">
        <f t="shared" si="23"/>
        <v>674.77935908042082</v>
      </c>
      <c r="AG41">
        <f t="shared" si="24"/>
        <v>1.1296714442727828E+293</v>
      </c>
      <c r="AH41">
        <f t="shared" si="25"/>
        <v>1.1296725739447891E+293</v>
      </c>
      <c r="AI41">
        <f t="shared" si="26"/>
        <v>1.1296703146019062E+293</v>
      </c>
      <c r="AJ41">
        <f t="shared" si="27"/>
        <v>1.1296714414274788E+293</v>
      </c>
      <c r="AK41">
        <f t="shared" si="28"/>
        <v>673.77935907790209</v>
      </c>
      <c r="AL41" t="str">
        <f t="shared" si="29"/>
        <v/>
      </c>
    </row>
    <row r="42" spans="1:38" x14ac:dyDescent="0.25">
      <c r="A42" t="s">
        <v>18</v>
      </c>
      <c r="B42" s="4">
        <f t="shared" si="67"/>
        <v>6.9639036791088218</v>
      </c>
      <c r="C42">
        <f t="shared" si="50"/>
        <v>1054.8264693338333</v>
      </c>
      <c r="D42">
        <f t="shared" si="68"/>
        <v>1054.8275270688018</v>
      </c>
      <c r="E42">
        <f t="shared" si="69"/>
        <v>1054.8254115999227</v>
      </c>
      <c r="F42">
        <f t="shared" si="70"/>
        <v>1057.7344395414912</v>
      </c>
      <c r="G42">
        <f t="shared" si="71"/>
        <v>5.9666529232469996</v>
      </c>
      <c r="H42" t="str">
        <f t="shared" si="72"/>
        <v/>
      </c>
      <c r="I42">
        <f t="shared" si="49"/>
        <v>6.1962504129075429</v>
      </c>
      <c r="J42">
        <f t="shared" si="53"/>
        <v>-0.24199932671968583</v>
      </c>
      <c r="K42">
        <f t="shared" si="57"/>
        <v>-20.833347021053978</v>
      </c>
      <c r="M42" t="s">
        <v>17</v>
      </c>
      <c r="N42" s="4">
        <f t="shared" si="73"/>
        <v>73.978375372657126</v>
      </c>
      <c r="O42">
        <f t="shared" si="58"/>
        <v>1.3440028959826937E+32</v>
      </c>
      <c r="P42">
        <f t="shared" si="59"/>
        <v>1.3440042399862583E+32</v>
      </c>
      <c r="Q42">
        <f t="shared" si="60"/>
        <v>1.3440015519804731E+32</v>
      </c>
      <c r="R42">
        <f t="shared" si="61"/>
        <v>1.344002892575382E+32</v>
      </c>
      <c r="S42">
        <f t="shared" si="62"/>
        <v>72.978375370121924</v>
      </c>
      <c r="T42" t="str">
        <f t="shared" si="63"/>
        <v/>
      </c>
      <c r="V42" t="s">
        <v>17</v>
      </c>
      <c r="W42" s="4">
        <f t="shared" si="74"/>
        <v>26.003817441500672</v>
      </c>
      <c r="X42">
        <f t="shared" si="54"/>
        <v>196478223746.31726</v>
      </c>
      <c r="Y42">
        <f t="shared" si="66"/>
        <v>196478420224.63943</v>
      </c>
      <c r="Z42">
        <f t="shared" si="64"/>
        <v>196478027268.19153</v>
      </c>
      <c r="AA42">
        <f t="shared" si="65"/>
        <v>196478223953.24707</v>
      </c>
      <c r="AB42">
        <f t="shared" si="55"/>
        <v>25.003817442553867</v>
      </c>
      <c r="AC42" t="str">
        <f t="shared" si="56"/>
        <v/>
      </c>
      <c r="AE42" t="s">
        <v>45</v>
      </c>
      <c r="AF42" s="4">
        <f t="shared" si="23"/>
        <v>673.77935907790209</v>
      </c>
      <c r="AG42">
        <f t="shared" si="24"/>
        <v>4.1558289857966557E+292</v>
      </c>
      <c r="AH42">
        <f t="shared" si="25"/>
        <v>4.1558331416277092E+292</v>
      </c>
      <c r="AI42">
        <f t="shared" si="26"/>
        <v>4.1558248299697582E+292</v>
      </c>
      <c r="AJ42">
        <f t="shared" si="27"/>
        <v>4.1558289754841033E+292</v>
      </c>
      <c r="AK42">
        <f t="shared" si="28"/>
        <v>672.77935907542064</v>
      </c>
      <c r="AL42" t="str">
        <f t="shared" si="29"/>
        <v/>
      </c>
    </row>
    <row r="43" spans="1:38" x14ac:dyDescent="0.25">
      <c r="A43" t="s">
        <v>19</v>
      </c>
      <c r="B43" s="4">
        <f t="shared" si="67"/>
        <v>5.9666529232469996</v>
      </c>
      <c r="C43">
        <f t="shared" si="50"/>
        <v>387.29272030284886</v>
      </c>
      <c r="D43">
        <f t="shared" si="68"/>
        <v>387.29311047318413</v>
      </c>
      <c r="E43">
        <f t="shared" si="69"/>
        <v>387.29233013290388</v>
      </c>
      <c r="F43">
        <f t="shared" si="70"/>
        <v>390.17014012188156</v>
      </c>
      <c r="G43">
        <f t="shared" si="71"/>
        <v>4.9740277054846507</v>
      </c>
      <c r="H43" t="str">
        <f t="shared" si="72"/>
        <v/>
      </c>
      <c r="I43">
        <f t="shared" si="49"/>
        <v>5.1989996570457206</v>
      </c>
      <c r="J43">
        <f t="shared" si="53"/>
        <v>-4.7174713646795041E-2</v>
      </c>
      <c r="K43">
        <f t="shared" si="57"/>
        <v>-12.494586266410778</v>
      </c>
      <c r="M43" t="s">
        <v>18</v>
      </c>
      <c r="N43" s="4">
        <f t="shared" si="73"/>
        <v>72.978375370121924</v>
      </c>
      <c r="O43">
        <f t="shared" si="58"/>
        <v>4.9443103305343081E+31</v>
      </c>
      <c r="P43">
        <f t="shared" si="59"/>
        <v>4.9443152748470986E+31</v>
      </c>
      <c r="Q43">
        <f t="shared" si="60"/>
        <v>4.9443053862264625E+31</v>
      </c>
      <c r="R43">
        <f t="shared" si="61"/>
        <v>4.9443103180582499E+31</v>
      </c>
      <c r="S43">
        <f t="shared" si="62"/>
        <v>71.978375367598602</v>
      </c>
      <c r="T43" t="str">
        <f t="shared" si="63"/>
        <v/>
      </c>
      <c r="V43" t="s">
        <v>18</v>
      </c>
      <c r="W43" s="4">
        <f t="shared" ref="W43:W48" si="75">AB42</f>
        <v>25.003817442553867</v>
      </c>
      <c r="X43">
        <f t="shared" si="54"/>
        <v>72280299228.362762</v>
      </c>
      <c r="Y43">
        <f t="shared" si="66"/>
        <v>72280371508.698196</v>
      </c>
      <c r="Z43">
        <f t="shared" si="64"/>
        <v>72280226948.099594</v>
      </c>
      <c r="AA43">
        <f t="shared" si="65"/>
        <v>72280299301.147461</v>
      </c>
      <c r="AB43">
        <f t="shared" ref="AB43:AB48" si="76">W43-X43/AA43</f>
        <v>24.003817443560845</v>
      </c>
      <c r="AC43" t="str">
        <f t="shared" ref="AC43:AC48" si="77">IF(W44=W43,"STOP","")</f>
        <v/>
      </c>
      <c r="AE43" t="s">
        <v>46</v>
      </c>
      <c r="AF43" s="4">
        <f t="shared" si="23"/>
        <v>672.77935907542064</v>
      </c>
      <c r="AG43">
        <f t="shared" si="24"/>
        <v>1.5288440411052167E+292</v>
      </c>
      <c r="AH43">
        <f t="shared" si="25"/>
        <v>1.5288455699500184E+292</v>
      </c>
      <c r="AI43">
        <f t="shared" si="26"/>
        <v>1.528842512261944E+292</v>
      </c>
      <c r="AJ43">
        <f t="shared" si="27"/>
        <v>1.5288440372399291E+292</v>
      </c>
      <c r="AK43">
        <f t="shared" si="28"/>
        <v>671.77935907289236</v>
      </c>
      <c r="AL43" t="str">
        <f t="shared" si="29"/>
        <v/>
      </c>
    </row>
    <row r="44" spans="1:38" x14ac:dyDescent="0.25">
      <c r="A44" t="s">
        <v>20</v>
      </c>
      <c r="B44" s="4">
        <f t="shared" si="67"/>
        <v>4.9740277054846507</v>
      </c>
      <c r="C44">
        <f t="shared" si="50"/>
        <v>141.7357582383643</v>
      </c>
      <c r="D44">
        <f t="shared" si="68"/>
        <v>141.73590280774306</v>
      </c>
      <c r="E44">
        <f t="shared" si="69"/>
        <v>141.73561366913012</v>
      </c>
      <c r="F44">
        <f t="shared" si="70"/>
        <v>144.56930647099853</v>
      </c>
      <c r="G44">
        <f t="shared" si="71"/>
        <v>3.993627635108735</v>
      </c>
      <c r="H44" t="str">
        <f t="shared" si="72"/>
        <v/>
      </c>
      <c r="I44">
        <f t="shared" si="49"/>
        <v>4.2063744392833717</v>
      </c>
      <c r="J44">
        <f t="shared" si="53"/>
        <v>0.13912518251924144</v>
      </c>
      <c r="K44">
        <f t="shared" si="57"/>
        <v>-6.2005361895644873</v>
      </c>
      <c r="M44" t="s">
        <v>19</v>
      </c>
      <c r="N44" s="4">
        <f t="shared" si="73"/>
        <v>71.978375367598602</v>
      </c>
      <c r="O44">
        <f t="shared" si="58"/>
        <v>1.8189101167854545E+31</v>
      </c>
      <c r="P44">
        <f t="shared" si="59"/>
        <v>1.8189119356964762E+31</v>
      </c>
      <c r="Q44">
        <f t="shared" si="60"/>
        <v>1.8189082978762518E+31</v>
      </c>
      <c r="R44">
        <f t="shared" si="61"/>
        <v>1.8189101121658025E+31</v>
      </c>
      <c r="S44">
        <f t="shared" si="62"/>
        <v>70.97837536505881</v>
      </c>
      <c r="T44" t="str">
        <f t="shared" si="63"/>
        <v/>
      </c>
      <c r="V44" t="s">
        <v>19</v>
      </c>
      <c r="W44" s="4">
        <f t="shared" si="75"/>
        <v>24.003817443560845</v>
      </c>
      <c r="X44">
        <f t="shared" si="54"/>
        <v>26590436112.696518</v>
      </c>
      <c r="Y44">
        <f t="shared" si="66"/>
        <v>26590462703.145954</v>
      </c>
      <c r="Z44">
        <f t="shared" si="64"/>
        <v>26590409522.27367</v>
      </c>
      <c r="AA44">
        <f t="shared" si="65"/>
        <v>26590436141.967773</v>
      </c>
      <c r="AB44">
        <f t="shared" si="76"/>
        <v>23.003817444661664</v>
      </c>
      <c r="AC44" t="str">
        <f t="shared" si="77"/>
        <v/>
      </c>
      <c r="AE44" t="s">
        <v>47</v>
      </c>
      <c r="AF44" s="4">
        <f t="shared" si="23"/>
        <v>671.77935907289236</v>
      </c>
      <c r="AG44">
        <f t="shared" si="24"/>
        <v>5.6243029005809463E+291</v>
      </c>
      <c r="AH44">
        <f t="shared" si="25"/>
        <v>5.6243085248866442E+291</v>
      </c>
      <c r="AI44">
        <f t="shared" si="26"/>
        <v>5.6242972762808722E+291</v>
      </c>
      <c r="AJ44">
        <f t="shared" si="27"/>
        <v>5.6243028860179871E+291</v>
      </c>
      <c r="AK44">
        <f t="shared" si="28"/>
        <v>670.77935907030303</v>
      </c>
      <c r="AL44" t="str">
        <f t="shared" si="29"/>
        <v/>
      </c>
    </row>
    <row r="45" spans="1:38" x14ac:dyDescent="0.25">
      <c r="A45" t="s">
        <v>21</v>
      </c>
      <c r="B45" s="4">
        <f t="shared" si="67"/>
        <v>3.993627635108735</v>
      </c>
      <c r="C45">
        <f t="shared" si="50"/>
        <v>51.425894626492109</v>
      </c>
      <c r="D45">
        <f t="shared" si="68"/>
        <v>51.425948818855822</v>
      </c>
      <c r="E45">
        <f t="shared" si="69"/>
        <v>51.425840434182675</v>
      </c>
      <c r="F45">
        <f t="shared" si="70"/>
        <v>54.192336573777311</v>
      </c>
      <c r="G45">
        <f t="shared" si="71"/>
        <v>3.0446762172919182</v>
      </c>
      <c r="H45" t="str">
        <f t="shared" si="72"/>
        <v/>
      </c>
      <c r="I45">
        <f t="shared" si="49"/>
        <v>3.225974368907456</v>
      </c>
      <c r="J45">
        <f t="shared" si="53"/>
        <v>0.30375654403532559</v>
      </c>
      <c r="K45">
        <f t="shared" si="57"/>
        <v>-1.958859150886068</v>
      </c>
      <c r="M45" t="s">
        <v>20</v>
      </c>
      <c r="N45" s="4">
        <f t="shared" si="73"/>
        <v>70.97837536505881</v>
      </c>
      <c r="O45">
        <f t="shared" si="58"/>
        <v>6.6913963560464022E+30</v>
      </c>
      <c r="P45">
        <f t="shared" si="59"/>
        <v>6.6914030474460863E+30</v>
      </c>
      <c r="Q45">
        <f t="shared" si="60"/>
        <v>6.6913896646534082E+30</v>
      </c>
      <c r="R45">
        <f t="shared" si="61"/>
        <v>6.6913963390447844E+30</v>
      </c>
      <c r="S45">
        <f t="shared" si="62"/>
        <v>69.978375362517994</v>
      </c>
      <c r="T45" t="str">
        <f t="shared" si="63"/>
        <v/>
      </c>
      <c r="V45" t="s">
        <v>20</v>
      </c>
      <c r="W45" s="4">
        <f t="shared" si="75"/>
        <v>23.003817444661664</v>
      </c>
      <c r="X45">
        <f t="shared" si="54"/>
        <v>9782074786.4990387</v>
      </c>
      <c r="Y45">
        <f t="shared" si="66"/>
        <v>9782084568.5787296</v>
      </c>
      <c r="Z45">
        <f t="shared" si="64"/>
        <v>9782065004.4291306</v>
      </c>
      <c r="AA45">
        <f t="shared" si="65"/>
        <v>9782074799.5376587</v>
      </c>
      <c r="AB45">
        <f t="shared" si="76"/>
        <v>22.003817445994574</v>
      </c>
      <c r="AC45" t="str">
        <f t="shared" si="77"/>
        <v/>
      </c>
      <c r="AE45" t="s">
        <v>48</v>
      </c>
      <c r="AF45" s="4">
        <f t="shared" si="23"/>
        <v>670.77935907030303</v>
      </c>
      <c r="AG45">
        <f t="shared" si="24"/>
        <v>2.0690654026871444E+291</v>
      </c>
      <c r="AH45">
        <f t="shared" si="25"/>
        <v>2.0690674717535765E+291</v>
      </c>
      <c r="AI45">
        <f t="shared" si="26"/>
        <v>2.0690633336227817E+291</v>
      </c>
      <c r="AJ45">
        <f t="shared" si="27"/>
        <v>2.0690653974371104E+291</v>
      </c>
      <c r="AK45">
        <f t="shared" si="28"/>
        <v>669.77935906776565</v>
      </c>
      <c r="AL45" t="str">
        <f t="shared" si="29"/>
        <v/>
      </c>
    </row>
    <row r="46" spans="1:38" x14ac:dyDescent="0.25">
      <c r="A46" t="s">
        <v>22</v>
      </c>
      <c r="B46" s="4">
        <f t="shared" si="67"/>
        <v>3.0446762172919182</v>
      </c>
      <c r="C46">
        <f t="shared" si="50"/>
        <v>18.249775340685897</v>
      </c>
      <c r="D46">
        <f t="shared" si="68"/>
        <v>18.249796246555572</v>
      </c>
      <c r="E46">
        <f t="shared" si="69"/>
        <v>18.249754434837286</v>
      </c>
      <c r="F46">
        <f t="shared" si="70"/>
        <v>20.905859143383054</v>
      </c>
      <c r="G46">
        <f t="shared" si="71"/>
        <v>2.1717259493541299</v>
      </c>
      <c r="H46" t="str">
        <f t="shared" si="72"/>
        <v/>
      </c>
      <c r="I46">
        <f t="shared" si="49"/>
        <v>2.2770229510906392</v>
      </c>
      <c r="J46">
        <f t="shared" si="53"/>
        <v>0.41754567771966045</v>
      </c>
      <c r="K46">
        <f t="shared" si="57"/>
        <v>0.30560285151459299</v>
      </c>
      <c r="M46" t="s">
        <v>21</v>
      </c>
      <c r="N46" s="4">
        <f t="shared" si="73"/>
        <v>69.978375362517994</v>
      </c>
      <c r="O46">
        <f t="shared" si="58"/>
        <v>2.4616271458644352E+30</v>
      </c>
      <c r="P46">
        <f t="shared" si="59"/>
        <v>2.4616296074928057E+30</v>
      </c>
      <c r="Q46">
        <f t="shared" si="60"/>
        <v>2.4616246842385265E+30</v>
      </c>
      <c r="R46">
        <f t="shared" si="61"/>
        <v>2.4616271396102822E+30</v>
      </c>
      <c r="S46">
        <f t="shared" si="62"/>
        <v>68.978375359977335</v>
      </c>
      <c r="T46" t="str">
        <f t="shared" si="63"/>
        <v/>
      </c>
      <c r="V46" t="s">
        <v>21</v>
      </c>
      <c r="W46" s="4">
        <f t="shared" si="75"/>
        <v>22.003817445994574</v>
      </c>
      <c r="X46">
        <f t="shared" si="54"/>
        <v>3598624208.8394871</v>
      </c>
      <c r="Y46">
        <f t="shared" si="66"/>
        <v>3598627807.4655018</v>
      </c>
      <c r="Z46">
        <f t="shared" si="64"/>
        <v>3598620610.2170711</v>
      </c>
      <c r="AA46">
        <f t="shared" si="65"/>
        <v>3598624215.3644562</v>
      </c>
      <c r="AB46">
        <f t="shared" si="76"/>
        <v>21.003817447807759</v>
      </c>
      <c r="AC46" t="str">
        <f t="shared" si="77"/>
        <v/>
      </c>
      <c r="AE46" t="s">
        <v>49</v>
      </c>
      <c r="AF46" s="4">
        <f t="shared" si="23"/>
        <v>669.77935906776565</v>
      </c>
      <c r="AG46">
        <f t="shared" si="24"/>
        <v>7.6116662215634568E+290</v>
      </c>
      <c r="AH46">
        <f t="shared" si="25"/>
        <v>7.6116738332334651E+290</v>
      </c>
      <c r="AI46">
        <f t="shared" si="26"/>
        <v>7.6116586099010598E+290</v>
      </c>
      <c r="AJ46">
        <f t="shared" si="27"/>
        <v>7.6116662026587613E+290</v>
      </c>
      <c r="AK46">
        <f t="shared" si="28"/>
        <v>668.77935906528205</v>
      </c>
      <c r="AL46" t="str">
        <f t="shared" si="29"/>
        <v/>
      </c>
    </row>
    <row r="47" spans="1:38" x14ac:dyDescent="0.25">
      <c r="A47" t="s">
        <v>23</v>
      </c>
      <c r="B47" s="4">
        <f t="shared" si="67"/>
        <v>2.1717259493541299</v>
      </c>
      <c r="C47">
        <f t="shared" si="50"/>
        <v>6.1341381445673608</v>
      </c>
      <c r="D47">
        <f t="shared" si="68"/>
        <v>6.1341467430497927</v>
      </c>
      <c r="E47">
        <f t="shared" si="69"/>
        <v>6.1341295460938348</v>
      </c>
      <c r="F47">
        <f t="shared" si="70"/>
        <v>8.598477978960517</v>
      </c>
      <c r="G47">
        <f t="shared" si="71"/>
        <v>1.4583278154545156</v>
      </c>
      <c r="H47" t="str">
        <f t="shared" si="72"/>
        <v/>
      </c>
      <c r="I47">
        <f t="shared" si="49"/>
        <v>1.4040726831528509</v>
      </c>
      <c r="J47">
        <f t="shared" si="53"/>
        <v>0.43258359726904405</v>
      </c>
      <c r="K47">
        <f t="shared" si="57"/>
        <v>0.9270413501666892</v>
      </c>
      <c r="M47" t="s">
        <v>22</v>
      </c>
      <c r="N47" s="4">
        <f t="shared" si="73"/>
        <v>68.978375359977335</v>
      </c>
      <c r="O47">
        <f t="shared" si="58"/>
        <v>9.0558201649228563E+29</v>
      </c>
      <c r="P47">
        <f t="shared" si="59"/>
        <v>9.0558292207475269E+29</v>
      </c>
      <c r="Q47">
        <f t="shared" si="60"/>
        <v>9.0558111091072422E+29</v>
      </c>
      <c r="R47">
        <f t="shared" si="61"/>
        <v>9.0558201423545192E+29</v>
      </c>
      <c r="S47">
        <f t="shared" si="62"/>
        <v>67.978375357485191</v>
      </c>
      <c r="T47" t="str">
        <f t="shared" si="63"/>
        <v/>
      </c>
      <c r="V47" t="s">
        <v>22</v>
      </c>
      <c r="W47" s="4">
        <f t="shared" si="75"/>
        <v>21.003817447807759</v>
      </c>
      <c r="X47">
        <f t="shared" si="54"/>
        <v>1323859863.4240496</v>
      </c>
      <c r="Y47">
        <f t="shared" si="66"/>
        <v>1323861187.2845795</v>
      </c>
      <c r="Z47">
        <f t="shared" si="64"/>
        <v>1323858539.5648439</v>
      </c>
      <c r="AA47">
        <f t="shared" si="65"/>
        <v>1323859867.811203</v>
      </c>
      <c r="AB47">
        <f t="shared" si="76"/>
        <v>20.00381745112167</v>
      </c>
      <c r="AC47" t="str">
        <f t="shared" si="77"/>
        <v/>
      </c>
      <c r="AE47" t="s">
        <v>50</v>
      </c>
      <c r="AF47" s="4">
        <f t="shared" si="23"/>
        <v>668.77935906528205</v>
      </c>
      <c r="AG47">
        <f t="shared" si="24"/>
        <v>2.800175509017785E+290</v>
      </c>
      <c r="AH47">
        <f t="shared" si="25"/>
        <v>2.8001783091946871E+290</v>
      </c>
      <c r="AI47">
        <f t="shared" si="26"/>
        <v>2.8001727088436832E+290</v>
      </c>
      <c r="AJ47">
        <f t="shared" si="27"/>
        <v>2.800175501919745E+290</v>
      </c>
      <c r="AK47">
        <f t="shared" si="28"/>
        <v>667.77935906274718</v>
      </c>
      <c r="AL47" t="str">
        <f t="shared" si="29"/>
        <v/>
      </c>
    </row>
    <row r="48" spans="1:38" x14ac:dyDescent="0.25">
      <c r="A48" t="s">
        <v>24</v>
      </c>
      <c r="B48" s="4">
        <f t="shared" ref="B48:B55" si="78">G47</f>
        <v>1.4583278154545156</v>
      </c>
      <c r="C48">
        <f t="shared" si="50"/>
        <v>1.8290443786269255</v>
      </c>
      <c r="D48">
        <f t="shared" ref="D48:D54" si="79">EXP(B48+E$6)-ATAN(B48+E$6)-1.5</f>
        <v>1.8290483575704433</v>
      </c>
      <c r="E48">
        <f t="shared" ref="E48:E54" si="80">EXP(B48-E$6)-ATAN(B48-E$6)-1.5</f>
        <v>1.8290403996880054</v>
      </c>
      <c r="F48">
        <f t="shared" ref="F48:F54" si="81">(D48-E48)/(E$6*2)</f>
        <v>3.9789412189517037</v>
      </c>
      <c r="G48">
        <f t="shared" ref="G48:G54" si="82">B48-C48/F48</f>
        <v>0.99864663948861199</v>
      </c>
      <c r="H48" t="str">
        <f t="shared" ref="H48:H54" si="83">IF(B49=B48,"STOP","")</f>
        <v/>
      </c>
      <c r="I48">
        <f t="shared" si="49"/>
        <v>0.69067454925323679</v>
      </c>
      <c r="J48">
        <f t="shared" si="53"/>
        <v>0.32154626611525627</v>
      </c>
      <c r="K48">
        <f t="shared" si="57"/>
        <v>0.63731661075057555</v>
      </c>
      <c r="M48" t="s">
        <v>23</v>
      </c>
      <c r="N48" s="4">
        <f t="shared" si="73"/>
        <v>67.978375357485191</v>
      </c>
      <c r="O48">
        <f t="shared" si="58"/>
        <v>3.3314500533184478E+29</v>
      </c>
      <c r="P48">
        <f t="shared" si="59"/>
        <v>3.3314533847701584E+29</v>
      </c>
      <c r="Q48">
        <f t="shared" si="60"/>
        <v>3.3314467218700684E+29</v>
      </c>
      <c r="R48">
        <f t="shared" si="61"/>
        <v>3.3314500449684623E+29</v>
      </c>
      <c r="S48">
        <f t="shared" si="62"/>
        <v>66.97837535497878</v>
      </c>
      <c r="T48" t="str">
        <f t="shared" si="63"/>
        <v/>
      </c>
      <c r="V48" t="s">
        <v>23</v>
      </c>
      <c r="W48" s="4">
        <f t="shared" si="75"/>
        <v>20.00381745112167</v>
      </c>
      <c r="X48">
        <f t="shared" si="54"/>
        <v>487020826.45101875</v>
      </c>
      <c r="Y48">
        <f t="shared" si="66"/>
        <v>487021313.47209227</v>
      </c>
      <c r="Z48">
        <f t="shared" si="64"/>
        <v>487020339.43043232</v>
      </c>
      <c r="AA48">
        <f t="shared" si="65"/>
        <v>487020829.97560501</v>
      </c>
      <c r="AB48">
        <f t="shared" si="76"/>
        <v>19.003817458358704</v>
      </c>
      <c r="AC48" t="str">
        <f t="shared" si="77"/>
        <v/>
      </c>
      <c r="AE48" t="s">
        <v>51</v>
      </c>
      <c r="AF48" s="4">
        <f t="shared" si="23"/>
        <v>667.77935906274718</v>
      </c>
      <c r="AG48">
        <f t="shared" si="24"/>
        <v>1.0301269988281782E+290</v>
      </c>
      <c r="AH48">
        <f t="shared" si="25"/>
        <v>1.0301280289556894E+290</v>
      </c>
      <c r="AI48">
        <f t="shared" si="26"/>
        <v>1.030125968701697E+290</v>
      </c>
      <c r="AJ48">
        <f t="shared" si="27"/>
        <v>1.0301269962184076E+290</v>
      </c>
      <c r="AK48">
        <f t="shared" si="28"/>
        <v>666.77935906021378</v>
      </c>
      <c r="AL48" t="str">
        <f t="shared" si="29"/>
        <v/>
      </c>
    </row>
    <row r="49" spans="1:38" x14ac:dyDescent="0.25">
      <c r="A49" t="s">
        <v>25</v>
      </c>
      <c r="B49" s="4">
        <f t="shared" si="78"/>
        <v>0.99864663948861199</v>
      </c>
      <c r="C49">
        <f t="shared" si="50"/>
        <v>0.42988447639360294</v>
      </c>
      <c r="D49">
        <f t="shared" si="79"/>
        <v>0.42988669032357407</v>
      </c>
      <c r="E49">
        <f t="shared" si="80"/>
        <v>0.42988226246684724</v>
      </c>
      <c r="F49">
        <f t="shared" si="81"/>
        <v>2.2139283634148299</v>
      </c>
      <c r="G49">
        <f t="shared" si="82"/>
        <v>0.80447392663238559</v>
      </c>
      <c r="H49" t="str">
        <f t="shared" si="83"/>
        <v/>
      </c>
      <c r="I49">
        <f t="shared" si="49"/>
        <v>0.23099337328733316</v>
      </c>
      <c r="J49">
        <f t="shared" si="53"/>
        <v>0.14797403819875976</v>
      </c>
      <c r="K49">
        <f t="shared" si="57"/>
        <v>0.22963761225275028</v>
      </c>
      <c r="M49" t="s">
        <v>24</v>
      </c>
      <c r="N49" s="4">
        <f t="shared" si="73"/>
        <v>66.97837535497878</v>
      </c>
      <c r="O49">
        <f t="shared" si="58"/>
        <v>1.2255719808335751E+29</v>
      </c>
      <c r="P49">
        <f t="shared" si="59"/>
        <v>1.2255732064061656E+29</v>
      </c>
      <c r="Q49">
        <f t="shared" si="60"/>
        <v>1.2255707552622101E+29</v>
      </c>
      <c r="R49">
        <f t="shared" si="61"/>
        <v>1.2255719777445089E+29</v>
      </c>
      <c r="S49">
        <f t="shared" si="62"/>
        <v>65.978375352458272</v>
      </c>
      <c r="T49" t="str">
        <f t="shared" si="63"/>
        <v/>
      </c>
      <c r="V49" t="s">
        <v>24</v>
      </c>
      <c r="W49" s="4">
        <f>AB48</f>
        <v>19.003817458358704</v>
      </c>
      <c r="X49">
        <f t="shared" si="54"/>
        <v>179164948.86336148</v>
      </c>
      <c r="Y49">
        <f t="shared" si="66"/>
        <v>179165128.02840313</v>
      </c>
      <c r="Z49">
        <f t="shared" si="64"/>
        <v>179164769.69849902</v>
      </c>
      <c r="AA49">
        <f t="shared" si="65"/>
        <v>179164952.05461979</v>
      </c>
      <c r="AB49">
        <f>W49-X49/AA49</f>
        <v>18.00381747617055</v>
      </c>
      <c r="AC49" t="str">
        <f>IF(W50=W49,"STOP","")</f>
        <v/>
      </c>
      <c r="AE49" t="s">
        <v>52</v>
      </c>
      <c r="AF49" s="4">
        <f t="shared" si="23"/>
        <v>666.77935906021378</v>
      </c>
      <c r="AG49">
        <f t="shared" si="24"/>
        <v>3.7896254370446246E+289</v>
      </c>
      <c r="AH49">
        <f t="shared" si="25"/>
        <v>3.7896292266719469E+289</v>
      </c>
      <c r="AI49">
        <f t="shared" si="26"/>
        <v>3.7896216474210917E+289</v>
      </c>
      <c r="AJ49">
        <f t="shared" si="27"/>
        <v>3.7896254276309552E+289</v>
      </c>
      <c r="AK49">
        <f t="shared" si="28"/>
        <v>665.77935905772972</v>
      </c>
      <c r="AL49" t="str">
        <f t="shared" si="29"/>
        <v/>
      </c>
    </row>
    <row r="50" spans="1:38" x14ac:dyDescent="0.25">
      <c r="A50" t="s">
        <v>26</v>
      </c>
      <c r="B50" s="4">
        <f t="shared" si="78"/>
        <v>0.80447392663238559</v>
      </c>
      <c r="C50">
        <f t="shared" si="50"/>
        <v>5.8057142908117587E-2</v>
      </c>
      <c r="D50">
        <f t="shared" si="79"/>
        <v>5.8058771330854242E-2</v>
      </c>
      <c r="E50">
        <f t="shared" si="80"/>
        <v>5.8055514488209337E-2</v>
      </c>
      <c r="F50">
        <f t="shared" si="81"/>
        <v>1.6284213224526667</v>
      </c>
      <c r="G50">
        <f t="shared" si="82"/>
        <v>0.76882151769642659</v>
      </c>
      <c r="H50" t="str">
        <f t="shared" si="83"/>
        <v/>
      </c>
      <c r="I50">
        <f t="shared" si="49"/>
        <v>3.6820660431106766E-2</v>
      </c>
      <c r="J50">
        <f t="shared" si="53"/>
        <v>2.8288276849737649E-2</v>
      </c>
      <c r="K50">
        <f t="shared" si="57"/>
        <v>3.681929561955085E-2</v>
      </c>
      <c r="M50" t="s">
        <v>25</v>
      </c>
      <c r="N50" s="4">
        <f t="shared" si="73"/>
        <v>65.978375352458272</v>
      </c>
      <c r="O50">
        <f t="shared" si="58"/>
        <v>4.5086273428802997E+28</v>
      </c>
      <c r="P50">
        <f t="shared" si="59"/>
        <v>4.5086318515098857E+28</v>
      </c>
      <c r="Q50">
        <f t="shared" si="60"/>
        <v>4.5086228342552224E+28</v>
      </c>
      <c r="R50">
        <f t="shared" si="61"/>
        <v>4.5086273316452831E+28</v>
      </c>
      <c r="S50">
        <f t="shared" si="62"/>
        <v>64.978375349966385</v>
      </c>
      <c r="T50" t="str">
        <f t="shared" si="63"/>
        <v/>
      </c>
      <c r="V50" t="s">
        <v>25</v>
      </c>
      <c r="W50" s="4">
        <f t="shared" ref="W50:W55" si="84">AB49</f>
        <v>18.00381747617055</v>
      </c>
      <c r="X50">
        <f t="shared" si="54"/>
        <v>65911100.534394823</v>
      </c>
      <c r="Y50">
        <f t="shared" si="66"/>
        <v>65911166.445531391</v>
      </c>
      <c r="Z50">
        <f t="shared" si="64"/>
        <v>65911034.623324156</v>
      </c>
      <c r="AA50">
        <f t="shared" si="65"/>
        <v>65911103.617399931</v>
      </c>
      <c r="AB50">
        <f t="shared" ref="AB50:AB55" si="85">W50-X50/AA50</f>
        <v>17.003817522945752</v>
      </c>
      <c r="AC50" t="str">
        <f t="shared" ref="AC50:AC55" si="86">IF(W51=W50,"STOP","")</f>
        <v/>
      </c>
      <c r="AE50" t="s">
        <v>53</v>
      </c>
      <c r="AF50" s="4">
        <f t="shared" si="23"/>
        <v>665.77935905772972</v>
      </c>
      <c r="AG50">
        <f t="shared" si="24"/>
        <v>1.3941252845659722E+289</v>
      </c>
      <c r="AH50">
        <f t="shared" si="25"/>
        <v>1.3941266786919501E+289</v>
      </c>
      <c r="AI50">
        <f t="shared" si="26"/>
        <v>1.3941238904413882E+289</v>
      </c>
      <c r="AJ50">
        <f t="shared" si="27"/>
        <v>1.394125280941322E+289</v>
      </c>
      <c r="AK50">
        <f t="shared" si="28"/>
        <v>664.77935905512982</v>
      </c>
      <c r="AL50" t="str">
        <f t="shared" si="29"/>
        <v/>
      </c>
    </row>
    <row r="51" spans="1:38" x14ac:dyDescent="0.25">
      <c r="A51" t="s">
        <v>27</v>
      </c>
      <c r="B51" s="4">
        <f t="shared" si="78"/>
        <v>0.76882151769642659</v>
      </c>
      <c r="C51">
        <f t="shared" si="50"/>
        <v>1.7840446819841205E-3</v>
      </c>
      <c r="D51">
        <f t="shared" si="79"/>
        <v>1.7855734045415517E-3</v>
      </c>
      <c r="E51">
        <f t="shared" si="80"/>
        <v>1.7825159621911446E-3</v>
      </c>
      <c r="F51">
        <f t="shared" si="81"/>
        <v>1.528721175203529</v>
      </c>
      <c r="G51">
        <f t="shared" si="82"/>
        <v>0.76765449998847435</v>
      </c>
      <c r="H51" t="str">
        <f t="shared" si="83"/>
        <v/>
      </c>
      <c r="I51">
        <f t="shared" si="49"/>
        <v>1.1682514951477652E-3</v>
      </c>
      <c r="J51">
        <f t="shared" si="53"/>
        <v>9.3336740892269177E-4</v>
      </c>
      <c r="K51">
        <f t="shared" si="57"/>
        <v>1.1682514936255343E-3</v>
      </c>
      <c r="M51" t="s">
        <v>26</v>
      </c>
      <c r="N51" s="4">
        <f t="shared" si="73"/>
        <v>64.978375349966385</v>
      </c>
      <c r="O51">
        <f t="shared" si="58"/>
        <v>1.6586313032159668E+28</v>
      </c>
      <c r="P51">
        <f t="shared" si="59"/>
        <v>1.6586329618480952E+28</v>
      </c>
      <c r="Q51">
        <f t="shared" si="60"/>
        <v>1.6586296445854971E+28</v>
      </c>
      <c r="R51">
        <f t="shared" si="61"/>
        <v>1.6586312990711939E+28</v>
      </c>
      <c r="S51">
        <f t="shared" si="62"/>
        <v>63.97837534746747</v>
      </c>
      <c r="T51" t="str">
        <f t="shared" si="63"/>
        <v/>
      </c>
      <c r="V51" t="s">
        <v>26</v>
      </c>
      <c r="W51" s="4">
        <f t="shared" si="84"/>
        <v>17.003817522945752</v>
      </c>
      <c r="X51">
        <f t="shared" si="54"/>
        <v>24247338.062978912</v>
      </c>
      <c r="Y51">
        <f t="shared" si="66"/>
        <v>24247362.310332131</v>
      </c>
      <c r="Z51">
        <f t="shared" si="64"/>
        <v>24247313.815649942</v>
      </c>
      <c r="AA51">
        <f t="shared" si="65"/>
        <v>24247341.094538569</v>
      </c>
      <c r="AB51">
        <f t="shared" si="85"/>
        <v>16.00381764797223</v>
      </c>
      <c r="AC51" t="str">
        <f t="shared" si="86"/>
        <v/>
      </c>
      <c r="AE51" t="s">
        <v>54</v>
      </c>
      <c r="AF51" s="4">
        <f t="shared" si="23"/>
        <v>664.77935905512982</v>
      </c>
      <c r="AG51">
        <f t="shared" si="24"/>
        <v>5.1287002927569485E+288</v>
      </c>
      <c r="AH51">
        <f t="shared" si="25"/>
        <v>5.1287054214597924E+288</v>
      </c>
      <c r="AI51">
        <f t="shared" si="26"/>
        <v>5.1286951640592331E+288</v>
      </c>
      <c r="AJ51">
        <f t="shared" si="27"/>
        <v>5.1287002796888137E+288</v>
      </c>
      <c r="AK51">
        <f t="shared" si="28"/>
        <v>663.77935905258175</v>
      </c>
      <c r="AL51" t="str">
        <f t="shared" si="29"/>
        <v/>
      </c>
    </row>
    <row r="52" spans="1:38" x14ac:dyDescent="0.25">
      <c r="A52" t="s">
        <v>28</v>
      </c>
      <c r="B52" s="4">
        <f t="shared" si="78"/>
        <v>0.76765449998847435</v>
      </c>
      <c r="C52">
        <f t="shared" si="50"/>
        <v>1.8821353662268336E-6</v>
      </c>
      <c r="D52">
        <f t="shared" si="79"/>
        <v>3.4076327777299298E-6</v>
      </c>
      <c r="E52">
        <f t="shared" si="80"/>
        <v>3.5664071695862276E-7</v>
      </c>
      <c r="F52">
        <f t="shared" si="81"/>
        <v>1.5254960303856535</v>
      </c>
      <c r="G52">
        <f t="shared" si="82"/>
        <v>0.76765326620265728</v>
      </c>
      <c r="H52" t="str">
        <f t="shared" si="83"/>
        <v/>
      </c>
      <c r="I52">
        <f t="shared" si="49"/>
        <v>1.2337871955203639E-6</v>
      </c>
      <c r="J52">
        <f t="shared" si="53"/>
        <v>9.8702837796338368E-7</v>
      </c>
      <c r="K52">
        <f t="shared" si="57"/>
        <v>1.2337871955203639E-6</v>
      </c>
      <c r="M52" t="s">
        <v>27</v>
      </c>
      <c r="N52" s="4">
        <f t="shared" si="73"/>
        <v>63.97837534746747</v>
      </c>
      <c r="O52">
        <f t="shared" si="58"/>
        <v>6.1017635541177228E+27</v>
      </c>
      <c r="P52">
        <f t="shared" si="59"/>
        <v>6.1017696558843117E+27</v>
      </c>
      <c r="Q52">
        <f t="shared" si="60"/>
        <v>6.1017574523572341E+27</v>
      </c>
      <c r="R52">
        <f t="shared" si="61"/>
        <v>6.1017635387891882E+27</v>
      </c>
      <c r="S52">
        <f t="shared" si="62"/>
        <v>62.978375344955325</v>
      </c>
      <c r="T52" t="str">
        <f t="shared" si="63"/>
        <v/>
      </c>
      <c r="V52" t="s">
        <v>27</v>
      </c>
      <c r="W52" s="4">
        <f t="shared" si="84"/>
        <v>16.00381764797223</v>
      </c>
      <c r="X52">
        <f t="shared" si="54"/>
        <v>8920096.3914325181</v>
      </c>
      <c r="Y52">
        <f t="shared" si="66"/>
        <v>8920105.3115363847</v>
      </c>
      <c r="Z52">
        <f t="shared" si="64"/>
        <v>8920087.4713375736</v>
      </c>
      <c r="AA52">
        <f t="shared" si="65"/>
        <v>8920099.4055718184</v>
      </c>
      <c r="AB52">
        <f t="shared" si="85"/>
        <v>15.003817985876458</v>
      </c>
      <c r="AC52" t="str">
        <f t="shared" si="86"/>
        <v/>
      </c>
      <c r="AE52" t="s">
        <v>55</v>
      </c>
      <c r="AF52" s="4">
        <f t="shared" si="23"/>
        <v>663.77935905258175</v>
      </c>
      <c r="AG52">
        <f t="shared" si="24"/>
        <v>1.8867433928276976E+288</v>
      </c>
      <c r="AH52">
        <f t="shared" si="25"/>
        <v>1.8867452795720291E+288</v>
      </c>
      <c r="AI52">
        <f t="shared" si="26"/>
        <v>1.8867415060852528E+288</v>
      </c>
      <c r="AJ52">
        <f t="shared" si="27"/>
        <v>1.8867433881444507E+288</v>
      </c>
      <c r="AK52">
        <f t="shared" si="28"/>
        <v>662.77935905009952</v>
      </c>
      <c r="AL52" t="str">
        <f t="shared" si="29"/>
        <v/>
      </c>
    </row>
    <row r="53" spans="1:38" x14ac:dyDescent="0.25">
      <c r="A53" t="s">
        <v>29</v>
      </c>
      <c r="B53" s="4">
        <f t="shared" si="78"/>
        <v>0.76765326620265728</v>
      </c>
      <c r="C53">
        <f t="shared" si="50"/>
        <v>2.1027624086400465E-12</v>
      </c>
      <c r="D53">
        <f t="shared" si="79"/>
        <v>1.5254961063249084E-6</v>
      </c>
      <c r="E53">
        <f t="shared" si="80"/>
        <v>-1.5254891376770274E-6</v>
      </c>
      <c r="F53">
        <f t="shared" si="81"/>
        <v>1.5254926220009679</v>
      </c>
      <c r="G53">
        <f t="shared" si="82"/>
        <v>0.76765326620127883</v>
      </c>
      <c r="H53" t="str">
        <f t="shared" si="83"/>
        <v/>
      </c>
      <c r="I53">
        <f t="shared" si="49"/>
        <v>1.3784529073745944E-12</v>
      </c>
      <c r="J53">
        <f t="shared" si="53"/>
        <v>1.1027623258996756E-12</v>
      </c>
      <c r="K53">
        <f t="shared" si="57"/>
        <v>1.3784529073745944E-12</v>
      </c>
      <c r="M53" t="s">
        <v>28</v>
      </c>
      <c r="N53" s="4">
        <f t="shared" si="73"/>
        <v>62.978375344955325</v>
      </c>
      <c r="O53">
        <f t="shared" si="58"/>
        <v>2.2447133608100556E+27</v>
      </c>
      <c r="P53">
        <f t="shared" si="59"/>
        <v>2.2447156055245331E+27</v>
      </c>
      <c r="Q53">
        <f t="shared" si="60"/>
        <v>2.2447111160978228E+27</v>
      </c>
      <c r="R53">
        <f t="shared" si="61"/>
        <v>2.2447133551413596E+27</v>
      </c>
      <c r="S53">
        <f t="shared" si="62"/>
        <v>61.97837534242997</v>
      </c>
      <c r="T53" t="str">
        <f t="shared" si="63"/>
        <v/>
      </c>
      <c r="V53" t="s">
        <v>28</v>
      </c>
      <c r="W53" s="4">
        <f t="shared" si="84"/>
        <v>15.003817985876458</v>
      </c>
      <c r="X53">
        <f t="shared" si="54"/>
        <v>3281519.2869963115</v>
      </c>
      <c r="Y53">
        <f t="shared" si="66"/>
        <v>3281522.5685202368</v>
      </c>
      <c r="Z53">
        <f t="shared" si="64"/>
        <v>3281516.0054756678</v>
      </c>
      <c r="AA53">
        <f t="shared" si="65"/>
        <v>3281522.2844947129</v>
      </c>
      <c r="AB53">
        <f t="shared" si="85"/>
        <v>14.00381889932398</v>
      </c>
      <c r="AC53" t="str">
        <f t="shared" si="86"/>
        <v/>
      </c>
      <c r="AE53" t="s">
        <v>56</v>
      </c>
      <c r="AF53" s="4">
        <f t="shared" si="23"/>
        <v>662.77935905009952</v>
      </c>
      <c r="AG53">
        <f t="shared" si="24"/>
        <v>6.9409410326445736E+287</v>
      </c>
      <c r="AH53">
        <f t="shared" si="25"/>
        <v>6.9409479735890601E+287</v>
      </c>
      <c r="AI53">
        <f t="shared" si="26"/>
        <v>6.9409340917070292E+287</v>
      </c>
      <c r="AJ53">
        <f t="shared" si="27"/>
        <v>6.9409410154645761E+287</v>
      </c>
      <c r="AK53">
        <f t="shared" si="28"/>
        <v>661.77935904762433</v>
      </c>
      <c r="AL53" t="str">
        <f t="shared" si="29"/>
        <v/>
      </c>
    </row>
    <row r="54" spans="1:38" x14ac:dyDescent="0.25">
      <c r="A54" t="s">
        <v>30</v>
      </c>
      <c r="B54" s="4">
        <f t="shared" si="78"/>
        <v>0.76765326620127883</v>
      </c>
      <c r="C54">
        <f t="shared" si="50"/>
        <v>0</v>
      </c>
      <c r="D54">
        <f t="shared" si="79"/>
        <v>1.5254940031184105E-6</v>
      </c>
      <c r="E54">
        <f t="shared" si="80"/>
        <v>-1.5254912408835253E-6</v>
      </c>
      <c r="F54">
        <f t="shared" si="81"/>
        <v>1.5254926220009679</v>
      </c>
      <c r="G54">
        <f t="shared" si="82"/>
        <v>0.76765326620127883</v>
      </c>
      <c r="H54" t="str">
        <f t="shared" si="83"/>
        <v>STOP</v>
      </c>
      <c r="M54" t="s">
        <v>29</v>
      </c>
      <c r="N54" s="4">
        <f t="shared" si="73"/>
        <v>61.97837534242997</v>
      </c>
      <c r="O54">
        <f t="shared" si="58"/>
        <v>8.257838946794766E+26</v>
      </c>
      <c r="P54">
        <f t="shared" si="59"/>
        <v>8.257847204637822E+26</v>
      </c>
      <c r="Q54">
        <f t="shared" si="60"/>
        <v>8.2578306889599701E+26</v>
      </c>
      <c r="R54">
        <f t="shared" si="61"/>
        <v>8.2578389259546473E+26</v>
      </c>
      <c r="S54">
        <f t="shared" si="62"/>
        <v>60.978375339906293</v>
      </c>
      <c r="T54" t="str">
        <f t="shared" si="63"/>
        <v/>
      </c>
      <c r="V54" t="s">
        <v>29</v>
      </c>
      <c r="W54" s="4">
        <f t="shared" si="84"/>
        <v>14.00381889932398</v>
      </c>
      <c r="X54">
        <f t="shared" si="54"/>
        <v>1207202.6899038039</v>
      </c>
      <c r="Y54">
        <f t="shared" si="66"/>
        <v>1207203.8971100911</v>
      </c>
      <c r="Z54">
        <f t="shared" si="64"/>
        <v>1207201.4826987241</v>
      </c>
      <c r="AA54">
        <f t="shared" si="65"/>
        <v>1207205.6834585965</v>
      </c>
      <c r="AB54">
        <f t="shared" si="85"/>
        <v>13.003821379062796</v>
      </c>
      <c r="AC54" t="str">
        <f t="shared" si="86"/>
        <v/>
      </c>
      <c r="AE54" t="s">
        <v>57</v>
      </c>
      <c r="AF54" s="4">
        <f t="shared" si="23"/>
        <v>661.77935904762433</v>
      </c>
      <c r="AG54">
        <f t="shared" si="24"/>
        <v>2.5534295019729969E+287</v>
      </c>
      <c r="AH54">
        <f t="shared" si="25"/>
        <v>2.5534320554037691E+287</v>
      </c>
      <c r="AI54">
        <f t="shared" si="26"/>
        <v>2.5534269485447782E+287</v>
      </c>
      <c r="AJ54">
        <f t="shared" si="27"/>
        <v>2.5534294954374502E+287</v>
      </c>
      <c r="AK54">
        <f t="shared" si="28"/>
        <v>660.77935904506478</v>
      </c>
      <c r="AL54" t="str">
        <f t="shared" si="29"/>
        <v/>
      </c>
    </row>
    <row r="55" spans="1:38" x14ac:dyDescent="0.25">
      <c r="A55" t="s">
        <v>31</v>
      </c>
      <c r="B55" s="4">
        <f t="shared" si="78"/>
        <v>0.76765326620127883</v>
      </c>
      <c r="M55" t="s">
        <v>30</v>
      </c>
      <c r="N55" s="4">
        <f t="shared" si="73"/>
        <v>60.978375339906293</v>
      </c>
      <c r="O55">
        <f t="shared" si="58"/>
        <v>3.0378891693639788E+26</v>
      </c>
      <c r="P55">
        <f t="shared" si="59"/>
        <v>3.0378922072546593E+26</v>
      </c>
      <c r="Q55">
        <f t="shared" si="60"/>
        <v>3.0378861314763358E+26</v>
      </c>
      <c r="R55">
        <f t="shared" si="61"/>
        <v>3.0378891617527189E+26</v>
      </c>
      <c r="S55">
        <f t="shared" si="62"/>
        <v>59.978375337400848</v>
      </c>
      <c r="T55" t="str">
        <f t="shared" si="63"/>
        <v/>
      </c>
      <c r="V55" t="s">
        <v>30</v>
      </c>
      <c r="W55" s="4">
        <f t="shared" si="84"/>
        <v>13.003821379062796</v>
      </c>
      <c r="X55">
        <f t="shared" si="54"/>
        <v>444104.26162161655</v>
      </c>
      <c r="Y55">
        <f t="shared" si="66"/>
        <v>444104.70572908805</v>
      </c>
      <c r="Z55">
        <f t="shared" si="64"/>
        <v>444103.81751458911</v>
      </c>
      <c r="AA55">
        <f t="shared" si="65"/>
        <v>444107.24946646951</v>
      </c>
      <c r="AB55">
        <f t="shared" si="85"/>
        <v>12.003828106817986</v>
      </c>
      <c r="AC55" t="str">
        <f t="shared" si="86"/>
        <v/>
      </c>
      <c r="AE55" t="s">
        <v>58</v>
      </c>
      <c r="AF55" s="4">
        <f t="shared" si="23"/>
        <v>660.77935904506478</v>
      </c>
      <c r="AG55">
        <f t="shared" si="24"/>
        <v>9.3935421585218057E+286</v>
      </c>
      <c r="AH55">
        <f t="shared" si="25"/>
        <v>9.3935515520686364E+286</v>
      </c>
      <c r="AI55">
        <f t="shared" si="26"/>
        <v>9.3935327649843676E+286</v>
      </c>
      <c r="AJ55">
        <f t="shared" si="27"/>
        <v>9.3935421344408849E+286</v>
      </c>
      <c r="AK55">
        <f t="shared" si="28"/>
        <v>659.77935904250126</v>
      </c>
      <c r="AL55" t="str">
        <f t="shared" si="29"/>
        <v/>
      </c>
    </row>
    <row r="56" spans="1:38" x14ac:dyDescent="0.25">
      <c r="B56" s="4"/>
      <c r="M56" t="s">
        <v>31</v>
      </c>
      <c r="N56" s="4">
        <f t="shared" si="73"/>
        <v>59.978375337400848</v>
      </c>
      <c r="O56">
        <f t="shared" si="58"/>
        <v>1.1175769671663703E+26</v>
      </c>
      <c r="P56">
        <f t="shared" si="59"/>
        <v>1.1175780847438934E+26</v>
      </c>
      <c r="Q56">
        <f t="shared" si="60"/>
        <v>1.1175758495899647E+26</v>
      </c>
      <c r="R56">
        <f t="shared" si="61"/>
        <v>1.1175769643399145E+26</v>
      </c>
      <c r="S56">
        <f t="shared" si="62"/>
        <v>58.978375334871757</v>
      </c>
      <c r="T56" t="str">
        <f t="shared" si="63"/>
        <v/>
      </c>
      <c r="V56" t="s">
        <v>31</v>
      </c>
      <c r="W56" s="4">
        <f>AB55</f>
        <v>12.003828106817986</v>
      </c>
      <c r="X56">
        <f t="shared" si="54"/>
        <v>163376.04052443977</v>
      </c>
      <c r="Y56">
        <f t="shared" si="66"/>
        <v>163376.20390354263</v>
      </c>
      <c r="Z56">
        <f t="shared" si="64"/>
        <v>163375.87714550027</v>
      </c>
      <c r="AA56">
        <f t="shared" si="65"/>
        <v>163379.02117811609</v>
      </c>
      <c r="AB56">
        <f>W56-X56/AA56</f>
        <v>11.003846350614863</v>
      </c>
      <c r="AC56" t="str">
        <f>IF(W57=W56,"STOP","")</f>
        <v/>
      </c>
      <c r="AE56" t="s">
        <v>59</v>
      </c>
      <c r="AF56" s="4">
        <f t="shared" si="23"/>
        <v>659.77935904250126</v>
      </c>
      <c r="AG56">
        <f t="shared" si="24"/>
        <v>3.4556910310386372E+286</v>
      </c>
      <c r="AH56">
        <f t="shared" si="25"/>
        <v>3.4556944867313876E+286</v>
      </c>
      <c r="AI56">
        <f t="shared" si="26"/>
        <v>3.4556875753493428E+286</v>
      </c>
      <c r="AJ56">
        <f t="shared" si="27"/>
        <v>3.4556910223854471E+286</v>
      </c>
      <c r="AK56">
        <f t="shared" si="28"/>
        <v>658.77935903999719</v>
      </c>
      <c r="AL56" t="str">
        <f t="shared" si="29"/>
        <v/>
      </c>
    </row>
    <row r="57" spans="1:38" x14ac:dyDescent="0.25">
      <c r="B57" s="4"/>
      <c r="M57" t="s">
        <v>32</v>
      </c>
      <c r="N57" s="4">
        <f t="shared" si="73"/>
        <v>58.978375334871757</v>
      </c>
      <c r="O57">
        <f t="shared" si="58"/>
        <v>4.1113358910744516E+25</v>
      </c>
      <c r="P57">
        <f t="shared" si="59"/>
        <v>4.111340002412388E+25</v>
      </c>
      <c r="Q57">
        <f t="shared" si="60"/>
        <v>4.1113317797406264E+25</v>
      </c>
      <c r="R57">
        <f t="shared" si="61"/>
        <v>4.1113358807831937E+25</v>
      </c>
      <c r="S57">
        <f t="shared" si="62"/>
        <v>57.978375332368614</v>
      </c>
      <c r="T57" t="str">
        <f t="shared" si="63"/>
        <v/>
      </c>
      <c r="V57" t="s">
        <v>32</v>
      </c>
      <c r="W57" s="4">
        <f t="shared" ref="W57:W62" si="87">AB56</f>
        <v>11.003846350614863</v>
      </c>
      <c r="X57">
        <f t="shared" si="54"/>
        <v>60101.901958831972</v>
      </c>
      <c r="Y57">
        <f t="shared" si="66"/>
        <v>60101.962063735911</v>
      </c>
      <c r="Z57">
        <f t="shared" si="64"/>
        <v>60101.841853988139</v>
      </c>
      <c r="AA57">
        <f t="shared" si="65"/>
        <v>60104.873886302812</v>
      </c>
      <c r="AB57">
        <f t="shared" ref="AB57:AB62" si="88">W57-X57/AA57</f>
        <v>10.003895796313333</v>
      </c>
      <c r="AC57" t="str">
        <f t="shared" ref="AC57:AC62" si="89">IF(W58=W57,"STOP","")</f>
        <v/>
      </c>
      <c r="AE57" t="s">
        <v>60</v>
      </c>
      <c r="AF57" s="4">
        <f t="shared" si="23"/>
        <v>658.77935903999719</v>
      </c>
      <c r="AG57">
        <f t="shared" si="24"/>
        <v>1.2712776821762956E+286</v>
      </c>
      <c r="AH57">
        <f t="shared" si="25"/>
        <v>1.2712789534546102E+286</v>
      </c>
      <c r="AI57">
        <f t="shared" si="26"/>
        <v>1.2712764108992524E+286</v>
      </c>
      <c r="AJ57">
        <f t="shared" si="27"/>
        <v>1.2712776789019711E+286</v>
      </c>
      <c r="AK57">
        <f t="shared" si="28"/>
        <v>657.77935903742161</v>
      </c>
      <c r="AL57" t="str">
        <f t="shared" si="29"/>
        <v/>
      </c>
    </row>
    <row r="58" spans="1:38" x14ac:dyDescent="0.25">
      <c r="B58" s="4"/>
      <c r="M58" t="s">
        <v>33</v>
      </c>
      <c r="N58" s="4">
        <f t="shared" si="73"/>
        <v>57.978375332368614</v>
      </c>
      <c r="O58">
        <f t="shared" si="58"/>
        <v>1.51247594629062E+25</v>
      </c>
      <c r="P58">
        <f t="shared" si="59"/>
        <v>1.5124774587673188E+25</v>
      </c>
      <c r="Q58">
        <f t="shared" si="60"/>
        <v>1.5124744338154338E+25</v>
      </c>
      <c r="R58">
        <f t="shared" si="61"/>
        <v>1.5124759424859636E+25</v>
      </c>
      <c r="S58">
        <f t="shared" si="62"/>
        <v>56.978375329853101</v>
      </c>
      <c r="T58" t="str">
        <f t="shared" si="63"/>
        <v/>
      </c>
      <c r="V58" t="s">
        <v>33</v>
      </c>
      <c r="W58" s="4">
        <f t="shared" si="87"/>
        <v>10.003895796313333</v>
      </c>
      <c r="X58">
        <f t="shared" si="54"/>
        <v>22109.472620443816</v>
      </c>
      <c r="Y58">
        <f t="shared" si="66"/>
        <v>22109.49473288875</v>
      </c>
      <c r="Z58">
        <f t="shared" si="64"/>
        <v>22109.450508020996</v>
      </c>
      <c r="AA58">
        <f t="shared" si="65"/>
        <v>22112.433876827708</v>
      </c>
      <c r="AB58">
        <f t="shared" si="88"/>
        <v>9.0040297144699863</v>
      </c>
      <c r="AC58" t="str">
        <f t="shared" si="89"/>
        <v/>
      </c>
      <c r="AE58" t="s">
        <v>61</v>
      </c>
      <c r="AF58" s="4">
        <f t="shared" si="23"/>
        <v>657.77935903742161</v>
      </c>
      <c r="AG58">
        <f t="shared" si="24"/>
        <v>4.6767692208820496E+285</v>
      </c>
      <c r="AH58">
        <f t="shared" si="25"/>
        <v>4.6767738976535968E+285</v>
      </c>
      <c r="AI58">
        <f t="shared" si="26"/>
        <v>4.6767645441151789E+285</v>
      </c>
      <c r="AJ58">
        <f t="shared" si="27"/>
        <v>4.6767692089747199E+285</v>
      </c>
      <c r="AK58">
        <f t="shared" si="28"/>
        <v>656.7793590348756</v>
      </c>
      <c r="AL58" t="str">
        <f t="shared" si="29"/>
        <v/>
      </c>
    </row>
    <row r="59" spans="1:38" x14ac:dyDescent="0.25">
      <c r="B59" s="4"/>
      <c r="M59" t="s">
        <v>34</v>
      </c>
      <c r="N59" s="4">
        <f t="shared" si="73"/>
        <v>56.978375329853101</v>
      </c>
      <c r="O59">
        <f t="shared" si="58"/>
        <v>5.5640880450698807E+24</v>
      </c>
      <c r="P59">
        <f t="shared" si="59"/>
        <v>5.5640936091606934E+24</v>
      </c>
      <c r="Q59">
        <f t="shared" si="60"/>
        <v>5.5640824809846312E+24</v>
      </c>
      <c r="R59">
        <f t="shared" si="61"/>
        <v>5.5640880310879519E+24</v>
      </c>
      <c r="S59">
        <f t="shared" si="62"/>
        <v>55.97837532734021</v>
      </c>
      <c r="T59" t="str">
        <f t="shared" si="63"/>
        <v/>
      </c>
      <c r="V59" t="s">
        <v>34</v>
      </c>
      <c r="W59" s="4">
        <f t="shared" si="87"/>
        <v>9.0040297144699863</v>
      </c>
      <c r="X59">
        <f t="shared" si="54"/>
        <v>8132.8427337297717</v>
      </c>
      <c r="Y59">
        <f t="shared" si="66"/>
        <v>8132.850869524571</v>
      </c>
      <c r="Z59">
        <f t="shared" si="64"/>
        <v>8132.8345979431069</v>
      </c>
      <c r="AA59">
        <f t="shared" si="65"/>
        <v>8135.7907320125378</v>
      </c>
      <c r="AB59">
        <f t="shared" si="88"/>
        <v>8.004392063795315</v>
      </c>
      <c r="AC59" t="str">
        <f t="shared" si="89"/>
        <v/>
      </c>
      <c r="AE59" t="s">
        <v>62</v>
      </c>
      <c r="AF59" s="4">
        <f t="shared" si="23"/>
        <v>656.7793590348756</v>
      </c>
      <c r="AG59">
        <f t="shared" si="24"/>
        <v>1.7204872430855007E+285</v>
      </c>
      <c r="AH59">
        <f t="shared" si="25"/>
        <v>1.7204889635735998E+285</v>
      </c>
      <c r="AI59">
        <f t="shared" si="26"/>
        <v>1.7204855225991223E+285</v>
      </c>
      <c r="AJ59">
        <f t="shared" si="27"/>
        <v>1.7204872387392438E+285</v>
      </c>
      <c r="AK59">
        <f t="shared" si="28"/>
        <v>655.77935903234948</v>
      </c>
      <c r="AL59" t="str">
        <f t="shared" si="29"/>
        <v/>
      </c>
    </row>
    <row r="60" spans="1:38" x14ac:dyDescent="0.25">
      <c r="B60" s="4"/>
      <c r="M60" t="s">
        <v>35</v>
      </c>
      <c r="N60" s="4">
        <f t="shared" si="73"/>
        <v>55.97837532734021</v>
      </c>
      <c r="O60">
        <f t="shared" si="58"/>
        <v>2.0469135955053393E+24</v>
      </c>
      <c r="P60">
        <f t="shared" si="59"/>
        <v>2.0469156424199532E+24</v>
      </c>
      <c r="Q60">
        <f t="shared" si="60"/>
        <v>2.0469115485927725E+24</v>
      </c>
      <c r="R60">
        <f t="shared" si="61"/>
        <v>2.046913590371287E+24</v>
      </c>
      <c r="S60">
        <f t="shared" si="62"/>
        <v>54.978375324832015</v>
      </c>
      <c r="T60" t="str">
        <f t="shared" si="63"/>
        <v/>
      </c>
      <c r="V60" t="s">
        <v>35</v>
      </c>
      <c r="W60" s="4">
        <f t="shared" si="87"/>
        <v>8.004392063795315</v>
      </c>
      <c r="X60">
        <f t="shared" si="54"/>
        <v>2991.1328296395591</v>
      </c>
      <c r="Y60">
        <f t="shared" si="66"/>
        <v>2991.135823705024</v>
      </c>
      <c r="Z60">
        <f t="shared" si="64"/>
        <v>2991.1298355770878</v>
      </c>
      <c r="AA60">
        <f t="shared" si="65"/>
        <v>2994.0639681171888</v>
      </c>
      <c r="AB60">
        <f t="shared" si="88"/>
        <v>7.0053710470464559</v>
      </c>
      <c r="AC60" t="str">
        <f t="shared" si="89"/>
        <v/>
      </c>
      <c r="AE60" t="s">
        <v>63</v>
      </c>
      <c r="AF60" s="4">
        <f t="shared" si="23"/>
        <v>655.77935903234948</v>
      </c>
      <c r="AG60">
        <f t="shared" si="24"/>
        <v>6.3293188393002661E+284</v>
      </c>
      <c r="AH60">
        <f t="shared" si="25"/>
        <v>6.3293251686222547E+284</v>
      </c>
      <c r="AI60">
        <f t="shared" si="26"/>
        <v>6.3293125099846077E+284</v>
      </c>
      <c r="AJ60">
        <f t="shared" si="27"/>
        <v>6.3293188235046968E+284</v>
      </c>
      <c r="AK60">
        <f t="shared" si="28"/>
        <v>654.77935902985382</v>
      </c>
      <c r="AL60" t="str">
        <f t="shared" si="29"/>
        <v/>
      </c>
    </row>
    <row r="61" spans="1:38" x14ac:dyDescent="0.25">
      <c r="B61" s="4"/>
      <c r="M61" t="s">
        <v>36</v>
      </c>
      <c r="N61" s="4">
        <f t="shared" si="73"/>
        <v>54.978375324832015</v>
      </c>
      <c r="O61">
        <f t="shared" si="58"/>
        <v>7.5301742775201775E+23</v>
      </c>
      <c r="P61">
        <f t="shared" si="59"/>
        <v>7.5301818076982019E+23</v>
      </c>
      <c r="Q61">
        <f t="shared" si="60"/>
        <v>7.530166747349684E+23</v>
      </c>
      <c r="R61">
        <f t="shared" si="61"/>
        <v>7.5301742589247488E+23</v>
      </c>
      <c r="S61">
        <f t="shared" si="62"/>
        <v>53.97837532236256</v>
      </c>
      <c r="T61" t="str">
        <f t="shared" si="63"/>
        <v/>
      </c>
      <c r="V61" t="s">
        <v>36</v>
      </c>
      <c r="W61" s="4">
        <f t="shared" si="87"/>
        <v>7.0053710470464559</v>
      </c>
      <c r="X61">
        <f t="shared" si="54"/>
        <v>1099.6100663772606</v>
      </c>
      <c r="Y61">
        <f t="shared" si="66"/>
        <v>1099.6111688969154</v>
      </c>
      <c r="Z61">
        <f t="shared" si="64"/>
        <v>1099.6089638587089</v>
      </c>
      <c r="AA61">
        <f t="shared" si="65"/>
        <v>1102.5191032558723</v>
      </c>
      <c r="AB61">
        <f t="shared" si="88"/>
        <v>6.0080095835307858</v>
      </c>
      <c r="AC61" t="str">
        <f t="shared" si="89"/>
        <v/>
      </c>
      <c r="AE61" t="s">
        <v>64</v>
      </c>
      <c r="AF61" s="4">
        <f t="shared" si="23"/>
        <v>654.77935902985382</v>
      </c>
      <c r="AG61">
        <f t="shared" si="24"/>
        <v>2.3284262717867188E+284</v>
      </c>
      <c r="AH61">
        <f t="shared" si="25"/>
        <v>2.3284286002141488E+284</v>
      </c>
      <c r="AI61">
        <f t="shared" si="26"/>
        <v>2.328423943361617E+284</v>
      </c>
      <c r="AJ61">
        <f t="shared" si="27"/>
        <v>2.3284262658818712E+284</v>
      </c>
      <c r="AK61">
        <f t="shared" si="28"/>
        <v>653.77935902731781</v>
      </c>
      <c r="AL61" t="str">
        <f t="shared" si="29"/>
        <v/>
      </c>
    </row>
    <row r="62" spans="1:38" x14ac:dyDescent="0.25">
      <c r="B62" s="4"/>
      <c r="M62" t="s">
        <v>37</v>
      </c>
      <c r="N62" s="4">
        <f t="shared" si="73"/>
        <v>53.97837532236256</v>
      </c>
      <c r="O62">
        <f t="shared" si="58"/>
        <v>2.7701962982968153E+23</v>
      </c>
      <c r="P62">
        <f t="shared" si="59"/>
        <v>2.7701990684944917E+23</v>
      </c>
      <c r="Q62">
        <f t="shared" si="60"/>
        <v>2.7701935281019091E+23</v>
      </c>
      <c r="R62">
        <f t="shared" si="61"/>
        <v>2.7701962912825344E+23</v>
      </c>
      <c r="S62">
        <f t="shared" si="62"/>
        <v>52.978375319830505</v>
      </c>
      <c r="T62" t="str">
        <f t="shared" si="63"/>
        <v/>
      </c>
      <c r="V62" t="s">
        <v>37</v>
      </c>
      <c r="W62" s="4">
        <f t="shared" si="87"/>
        <v>6.0080095835307858</v>
      </c>
      <c r="X62">
        <f t="shared" si="54"/>
        <v>403.76720155831845</v>
      </c>
      <c r="Y62">
        <f t="shared" si="66"/>
        <v>403.76760820463033</v>
      </c>
      <c r="Z62">
        <f t="shared" si="64"/>
        <v>403.76679491241327</v>
      </c>
      <c r="AA62">
        <f t="shared" si="65"/>
        <v>406.64610853013983</v>
      </c>
      <c r="AB62">
        <f t="shared" si="88"/>
        <v>5.0150892208651436</v>
      </c>
      <c r="AC62" t="str">
        <f t="shared" si="89"/>
        <v/>
      </c>
      <c r="AE62" t="s">
        <v>65</v>
      </c>
      <c r="AF62" s="4">
        <f t="shared" si="23"/>
        <v>653.77935902731781</v>
      </c>
      <c r="AG62">
        <f t="shared" si="24"/>
        <v>8.5658015350150517E+283</v>
      </c>
      <c r="AH62">
        <f t="shared" si="25"/>
        <v>8.5658101008208478E+283</v>
      </c>
      <c r="AI62">
        <f t="shared" si="26"/>
        <v>8.5657929692178221E+283</v>
      </c>
      <c r="AJ62">
        <f t="shared" si="27"/>
        <v>8.5658015128557722E+283</v>
      </c>
      <c r="AK62">
        <f t="shared" si="28"/>
        <v>652.77935902473087</v>
      </c>
      <c r="AL62" t="str">
        <f t="shared" si="29"/>
        <v/>
      </c>
    </row>
    <row r="63" spans="1:38" x14ac:dyDescent="0.25">
      <c r="B63" s="4"/>
      <c r="M63" t="s">
        <v>38</v>
      </c>
      <c r="N63" s="4">
        <f t="shared" si="73"/>
        <v>52.978375319830505</v>
      </c>
      <c r="O63">
        <f t="shared" si="58"/>
        <v>1.0190982635722181E+23</v>
      </c>
      <c r="P63">
        <f t="shared" si="59"/>
        <v>1.0190992826709887E+23</v>
      </c>
      <c r="Q63">
        <f t="shared" si="60"/>
        <v>1.0190972444744666E+23</v>
      </c>
      <c r="R63">
        <f t="shared" si="61"/>
        <v>1.0190982610314854E+23</v>
      </c>
      <c r="S63">
        <f t="shared" si="62"/>
        <v>51.978375317337388</v>
      </c>
      <c r="T63" t="str">
        <f t="shared" si="63"/>
        <v/>
      </c>
      <c r="V63" t="s">
        <v>38</v>
      </c>
      <c r="W63" s="4">
        <f t="shared" ref="W63:W74" si="90">AB62</f>
        <v>5.0150892208651436</v>
      </c>
      <c r="X63">
        <f t="shared" si="54"/>
        <v>147.79559959409076</v>
      </c>
      <c r="Y63">
        <f t="shared" si="66"/>
        <v>147.79575022550586</v>
      </c>
      <c r="Z63">
        <f t="shared" si="64"/>
        <v>147.7954489628263</v>
      </c>
      <c r="AA63">
        <f t="shared" si="65"/>
        <v>150.63133977832877</v>
      </c>
      <c r="AB63">
        <f t="shared" ref="AB63:AB74" si="91">W63-X63/AA63</f>
        <v>4.0339149193446975</v>
      </c>
      <c r="AC63" t="str">
        <f t="shared" ref="AC63:AC74" si="92">IF(W64=W63,"STOP","")</f>
        <v/>
      </c>
      <c r="AE63" t="s">
        <v>66</v>
      </c>
      <c r="AF63" s="4">
        <f t="shared" si="23"/>
        <v>652.77935902473087</v>
      </c>
      <c r="AG63">
        <f t="shared" si="24"/>
        <v>3.1511822737348882E+283</v>
      </c>
      <c r="AH63">
        <f t="shared" si="25"/>
        <v>3.1511854249187296E+283</v>
      </c>
      <c r="AI63">
        <f t="shared" si="26"/>
        <v>3.1511791225541979E+283</v>
      </c>
      <c r="AJ63">
        <f t="shared" si="27"/>
        <v>3.1511822658328431E+283</v>
      </c>
      <c r="AK63">
        <f t="shared" si="28"/>
        <v>651.77935902222328</v>
      </c>
      <c r="AL63" t="str">
        <f t="shared" si="29"/>
        <v/>
      </c>
    </row>
    <row r="64" spans="1:38" x14ac:dyDescent="0.25">
      <c r="B64" s="4"/>
      <c r="M64" t="s">
        <v>39</v>
      </c>
      <c r="N64" s="4">
        <f t="shared" si="73"/>
        <v>51.978375317337388</v>
      </c>
      <c r="O64">
        <f t="shared" si="58"/>
        <v>3.7490529876705213E+22</v>
      </c>
      <c r="P64">
        <f t="shared" si="59"/>
        <v>3.7490567367253742E+22</v>
      </c>
      <c r="Q64">
        <f t="shared" si="60"/>
        <v>3.7490492386194177E+22</v>
      </c>
      <c r="R64">
        <f t="shared" si="61"/>
        <v>3.7490529782464512E+22</v>
      </c>
      <c r="S64">
        <f t="shared" si="62"/>
        <v>50.978375314823666</v>
      </c>
      <c r="T64" t="str">
        <f t="shared" si="63"/>
        <v/>
      </c>
      <c r="V64" t="s">
        <v>39</v>
      </c>
      <c r="W64" s="4">
        <f t="shared" si="90"/>
        <v>4.0339149193446975</v>
      </c>
      <c r="X64">
        <f t="shared" si="54"/>
        <v>53.653803021808926</v>
      </c>
      <c r="Y64">
        <f t="shared" si="66"/>
        <v>53.653859445541464</v>
      </c>
      <c r="Z64">
        <f t="shared" si="64"/>
        <v>53.653746598132884</v>
      </c>
      <c r="AA64">
        <f t="shared" si="65"/>
        <v>56.423704290153864</v>
      </c>
      <c r="AB64">
        <f t="shared" si="91"/>
        <v>3.0830060115229241</v>
      </c>
      <c r="AC64" t="str">
        <f t="shared" si="92"/>
        <v/>
      </c>
      <c r="AE64" t="s">
        <v>67</v>
      </c>
      <c r="AF64" s="4">
        <f t="shared" si="23"/>
        <v>651.77935902222328</v>
      </c>
      <c r="AG64">
        <f t="shared" si="24"/>
        <v>1.1592551709840083E+283</v>
      </c>
      <c r="AH64">
        <f t="shared" si="25"/>
        <v>1.1592563302397558E+283</v>
      </c>
      <c r="AI64">
        <f t="shared" si="26"/>
        <v>1.1592540117294198E+283</v>
      </c>
      <c r="AJ64">
        <f t="shared" si="27"/>
        <v>1.159255168010407E+283</v>
      </c>
      <c r="AK64">
        <f t="shared" si="28"/>
        <v>650.77935901965816</v>
      </c>
      <c r="AL64" t="str">
        <f t="shared" si="29"/>
        <v/>
      </c>
    </row>
    <row r="65" spans="2:38" x14ac:dyDescent="0.25">
      <c r="B65" s="4"/>
      <c r="M65" t="s">
        <v>40</v>
      </c>
      <c r="N65" s="4">
        <f t="shared" si="73"/>
        <v>50.978375314823666</v>
      </c>
      <c r="O65">
        <f t="shared" si="58"/>
        <v>1.3791995145594327E+22</v>
      </c>
      <c r="P65">
        <f t="shared" si="59"/>
        <v>1.3792008937596334E+22</v>
      </c>
      <c r="Q65">
        <f t="shared" si="60"/>
        <v>1.3791981353606113E+22</v>
      </c>
      <c r="R65">
        <f t="shared" si="61"/>
        <v>1.3791995110621184E+22</v>
      </c>
      <c r="S65">
        <f t="shared" si="62"/>
        <v>49.978375312287909</v>
      </c>
      <c r="T65" t="str">
        <f t="shared" si="63"/>
        <v/>
      </c>
      <c r="V65" t="s">
        <v>40</v>
      </c>
      <c r="W65" s="4">
        <f t="shared" si="90"/>
        <v>3.0830060115229241</v>
      </c>
      <c r="X65">
        <f t="shared" si="54"/>
        <v>19.066762290020922</v>
      </c>
      <c r="Y65">
        <f t="shared" si="66"/>
        <v>19.066784018745238</v>
      </c>
      <c r="Z65">
        <f t="shared" si="64"/>
        <v>19.066740561318486</v>
      </c>
      <c r="AA65">
        <f t="shared" si="65"/>
        <v>21.728713376134579</v>
      </c>
      <c r="AB65">
        <f t="shared" si="91"/>
        <v>2.2055144656607273</v>
      </c>
      <c r="AC65" t="str">
        <f t="shared" si="92"/>
        <v/>
      </c>
      <c r="AE65" t="s">
        <v>68</v>
      </c>
      <c r="AF65" s="4">
        <f t="shared" si="23"/>
        <v>650.77935901965816</v>
      </c>
      <c r="AG65">
        <f t="shared" si="24"/>
        <v>4.2646614338276659E+282</v>
      </c>
      <c r="AH65">
        <f t="shared" si="25"/>
        <v>4.2646656984912211E+282</v>
      </c>
      <c r="AI65">
        <f t="shared" si="26"/>
        <v>4.2646571691683752E+282</v>
      </c>
      <c r="AJ65">
        <f t="shared" si="27"/>
        <v>4.2646614229256685E+282</v>
      </c>
      <c r="AK65">
        <f t="shared" si="28"/>
        <v>649.7793590171018</v>
      </c>
      <c r="AL65" t="str">
        <f t="shared" si="29"/>
        <v/>
      </c>
    </row>
    <row r="66" spans="2:38" x14ac:dyDescent="0.25">
      <c r="B66" s="4"/>
      <c r="M66" t="s">
        <v>41</v>
      </c>
      <c r="N66" s="4">
        <f t="shared" si="73"/>
        <v>49.978375312287909</v>
      </c>
      <c r="O66">
        <f t="shared" si="58"/>
        <v>5.0737914539345864E+21</v>
      </c>
      <c r="P66">
        <f t="shared" si="59"/>
        <v>5.0737965277285649E+21</v>
      </c>
      <c r="Q66">
        <f t="shared" si="60"/>
        <v>5.073786380145682E+21</v>
      </c>
      <c r="R66">
        <f t="shared" si="61"/>
        <v>5.073791441436672E+21</v>
      </c>
      <c r="S66">
        <f t="shared" si="62"/>
        <v>48.978375309824678</v>
      </c>
      <c r="T66" t="str">
        <f t="shared" si="63"/>
        <v/>
      </c>
      <c r="V66" t="s">
        <v>41</v>
      </c>
      <c r="W66" s="4">
        <f t="shared" si="90"/>
        <v>2.2055144656607273</v>
      </c>
      <c r="X66">
        <f t="shared" si="54"/>
        <v>6.4298079676581636</v>
      </c>
      <c r="Y66">
        <f t="shared" si="66"/>
        <v>6.4298168720583604</v>
      </c>
      <c r="Z66">
        <f t="shared" si="64"/>
        <v>6.4297990632671738</v>
      </c>
      <c r="AA66">
        <f t="shared" si="65"/>
        <v>8.904395593312131</v>
      </c>
      <c r="AB66">
        <f t="shared" si="91"/>
        <v>1.4834207648274633</v>
      </c>
      <c r="AC66" t="str">
        <f t="shared" si="92"/>
        <v/>
      </c>
      <c r="AE66" t="s">
        <v>69</v>
      </c>
      <c r="AF66" s="4">
        <f t="shared" si="23"/>
        <v>649.7793590171018</v>
      </c>
      <c r="AG66">
        <f t="shared" si="24"/>
        <v>1.5688812610512948E+282</v>
      </c>
      <c r="AH66">
        <f t="shared" si="25"/>
        <v>1.5688828299333365E+282</v>
      </c>
      <c r="AI66">
        <f t="shared" si="26"/>
        <v>1.5688796921708223E+282</v>
      </c>
      <c r="AJ66">
        <f t="shared" si="27"/>
        <v>1.5688812570858513E+282</v>
      </c>
      <c r="AK66">
        <f t="shared" si="28"/>
        <v>648.7793590145742</v>
      </c>
      <c r="AL66" t="str">
        <f t="shared" si="29"/>
        <v/>
      </c>
    </row>
    <row r="67" spans="2:38" x14ac:dyDescent="0.25">
      <c r="B67" s="4"/>
      <c r="M67" t="s">
        <v>42</v>
      </c>
      <c r="N67" s="4">
        <f t="shared" si="73"/>
        <v>48.978375309824678</v>
      </c>
      <c r="O67">
        <f t="shared" si="58"/>
        <v>1.8665435600961667E+21</v>
      </c>
      <c r="P67">
        <f t="shared" si="59"/>
        <v>1.8665454266406554E+21</v>
      </c>
      <c r="Q67">
        <f t="shared" si="60"/>
        <v>1.8665416935535448E+21</v>
      </c>
      <c r="R67">
        <f t="shared" si="61"/>
        <v>1.866543555280896E+21</v>
      </c>
      <c r="S67">
        <f t="shared" si="62"/>
        <v>47.978375307244896</v>
      </c>
      <c r="T67" t="str">
        <f t="shared" si="63"/>
        <v/>
      </c>
      <c r="V67" t="s">
        <v>42</v>
      </c>
      <c r="W67" s="4">
        <f t="shared" si="90"/>
        <v>1.4834207648274633</v>
      </c>
      <c r="X67">
        <f t="shared" si="54"/>
        <v>1.9303455171803412</v>
      </c>
      <c r="Y67">
        <f t="shared" si="66"/>
        <v>1.9303496127337851</v>
      </c>
      <c r="Z67">
        <f t="shared" si="64"/>
        <v>1.9303414216315957</v>
      </c>
      <c r="AA67">
        <f t="shared" si="65"/>
        <v>4.0955510947071616</v>
      </c>
      <c r="AB67">
        <f t="shared" si="91"/>
        <v>1.0120933481887109</v>
      </c>
      <c r="AC67" t="str">
        <f t="shared" si="92"/>
        <v/>
      </c>
      <c r="AE67" t="s">
        <v>70</v>
      </c>
      <c r="AF67" s="4">
        <f t="shared" si="23"/>
        <v>648.7793590145742</v>
      </c>
      <c r="AG67">
        <f t="shared" si="24"/>
        <v>5.7715916012107089E+281</v>
      </c>
      <c r="AH67">
        <f t="shared" si="25"/>
        <v>5.7715973728051816E+281</v>
      </c>
      <c r="AI67">
        <f t="shared" si="26"/>
        <v>5.7715858296220079E+281</v>
      </c>
      <c r="AJ67">
        <f t="shared" si="27"/>
        <v>5.7715915868584291E+281</v>
      </c>
      <c r="AK67">
        <f t="shared" si="28"/>
        <v>647.77935901208753</v>
      </c>
      <c r="AL67" t="str">
        <f t="shared" si="29"/>
        <v/>
      </c>
    </row>
    <row r="68" spans="2:38" x14ac:dyDescent="0.25">
      <c r="B68" s="4"/>
      <c r="M68" t="s">
        <v>43</v>
      </c>
      <c r="N68" s="4">
        <f t="shared" si="73"/>
        <v>47.978375307244896</v>
      </c>
      <c r="O68">
        <f t="shared" si="58"/>
        <v>6.8666300003889172E+20</v>
      </c>
      <c r="P68">
        <f t="shared" si="59"/>
        <v>6.8666368670223329E+20</v>
      </c>
      <c r="Q68">
        <f t="shared" si="60"/>
        <v>6.866623133762367E+20</v>
      </c>
      <c r="R68">
        <f t="shared" si="61"/>
        <v>6.86662998294528E+20</v>
      </c>
      <c r="S68">
        <f t="shared" si="62"/>
        <v>46.978375304704549</v>
      </c>
      <c r="T68" t="str">
        <f t="shared" si="63"/>
        <v/>
      </c>
      <c r="V68" t="s">
        <v>43</v>
      </c>
      <c r="W68" s="4">
        <f t="shared" si="90"/>
        <v>1.0120933481887109</v>
      </c>
      <c r="X68">
        <f t="shared" si="54"/>
        <v>0.4599461112821901</v>
      </c>
      <c r="Y68">
        <f t="shared" si="66"/>
        <v>0.45994836864846089</v>
      </c>
      <c r="Z68">
        <f t="shared" si="64"/>
        <v>0.45994385391916448</v>
      </c>
      <c r="AA68">
        <f t="shared" si="65"/>
        <v>2.2573646482060283</v>
      </c>
      <c r="AB68">
        <f t="shared" si="91"/>
        <v>0.8083397757883819</v>
      </c>
      <c r="AC68" t="str">
        <f t="shared" si="92"/>
        <v/>
      </c>
      <c r="AE68" t="s">
        <v>71</v>
      </c>
      <c r="AF68" s="4">
        <f t="shared" si="23"/>
        <v>647.77935901208753</v>
      </c>
      <c r="AG68">
        <f t="shared" si="24"/>
        <v>2.1232498876433591E+281</v>
      </c>
      <c r="AH68">
        <f t="shared" si="25"/>
        <v>2.123252010894303E+281</v>
      </c>
      <c r="AI68">
        <f t="shared" si="26"/>
        <v>2.1232477643945385E+281</v>
      </c>
      <c r="AJ68">
        <f t="shared" si="27"/>
        <v>2.1232498822725739E+281</v>
      </c>
      <c r="AK68">
        <f t="shared" si="28"/>
        <v>646.77935900955799</v>
      </c>
      <c r="AL68" t="str">
        <f t="shared" si="29"/>
        <v/>
      </c>
    </row>
    <row r="69" spans="2:38" x14ac:dyDescent="0.25">
      <c r="B69" s="4"/>
      <c r="M69" t="s">
        <v>44</v>
      </c>
      <c r="N69" s="4">
        <f t="shared" si="73"/>
        <v>46.978375304704549</v>
      </c>
      <c r="O69">
        <f t="shared" si="58"/>
        <v>2.5260920008569861E+20</v>
      </c>
      <c r="P69">
        <f t="shared" si="59"/>
        <v>2.5260945269502437E+20</v>
      </c>
      <c r="Q69">
        <f t="shared" si="60"/>
        <v>2.5260894747662546E+20</v>
      </c>
      <c r="R69">
        <f t="shared" si="61"/>
        <v>2.52609199456256E+20</v>
      </c>
      <c r="S69">
        <f t="shared" si="62"/>
        <v>45.978375302212783</v>
      </c>
      <c r="T69" t="str">
        <f t="shared" si="63"/>
        <v/>
      </c>
      <c r="V69" t="s">
        <v>44</v>
      </c>
      <c r="W69" s="4">
        <f t="shared" si="90"/>
        <v>0.8083397757883819</v>
      </c>
      <c r="X69">
        <f t="shared" si="54"/>
        <v>6.4373527466064839E-2</v>
      </c>
      <c r="Y69">
        <f t="shared" si="66"/>
        <v>6.43751668370387E-2</v>
      </c>
      <c r="Z69">
        <f t="shared" si="64"/>
        <v>6.4371888097927377E-2</v>
      </c>
      <c r="AA69">
        <f t="shared" si="65"/>
        <v>1.6393695556615739</v>
      </c>
      <c r="AB69">
        <f t="shared" si="91"/>
        <v>0.7690725298865958</v>
      </c>
      <c r="AC69" t="str">
        <f t="shared" si="92"/>
        <v/>
      </c>
      <c r="AE69" t="s">
        <v>72</v>
      </c>
      <c r="AF69" s="4">
        <f t="shared" si="23"/>
        <v>646.77935900955799</v>
      </c>
      <c r="AG69">
        <f t="shared" si="24"/>
        <v>7.8109998015774919E+280</v>
      </c>
      <c r="AH69">
        <f t="shared" si="25"/>
        <v>7.8110076125811783E+280</v>
      </c>
      <c r="AI69">
        <f t="shared" si="26"/>
        <v>7.810991990581615E+280</v>
      </c>
      <c r="AJ69">
        <f t="shared" si="27"/>
        <v>7.8109997816363725E+280</v>
      </c>
      <c r="AK69">
        <f t="shared" si="28"/>
        <v>645.77935900700504</v>
      </c>
      <c r="AL69" t="str">
        <f t="shared" si="29"/>
        <v/>
      </c>
    </row>
    <row r="70" spans="2:38" x14ac:dyDescent="0.25">
      <c r="B70" s="4"/>
      <c r="M70" t="s">
        <v>45</v>
      </c>
      <c r="N70" s="4">
        <f t="shared" si="73"/>
        <v>45.978375302212783</v>
      </c>
      <c r="O70">
        <f t="shared" si="58"/>
        <v>9.2929731130732642E+19</v>
      </c>
      <c r="P70">
        <f t="shared" si="59"/>
        <v>9.2929824060510011E+19</v>
      </c>
      <c r="Q70">
        <f t="shared" si="60"/>
        <v>9.292963820104822E+19</v>
      </c>
      <c r="R70">
        <f t="shared" si="61"/>
        <v>9.2929730895872E+19</v>
      </c>
      <c r="S70">
        <f t="shared" si="62"/>
        <v>44.978375299685489</v>
      </c>
      <c r="T70" t="str">
        <f t="shared" si="63"/>
        <v/>
      </c>
      <c r="V70" t="s">
        <v>45</v>
      </c>
      <c r="W70" s="4">
        <f t="shared" si="90"/>
        <v>0.7690725298865958</v>
      </c>
      <c r="X70">
        <f t="shared" si="54"/>
        <v>2.1678594321659084E-3</v>
      </c>
      <c r="Y70">
        <f t="shared" si="66"/>
        <v>2.1693888487308577E-3</v>
      </c>
      <c r="Z70">
        <f t="shared" si="64"/>
        <v>2.1663300183654144E-3</v>
      </c>
      <c r="AA70">
        <f t="shared" si="65"/>
        <v>1.5294151827216496</v>
      </c>
      <c r="AB70">
        <f t="shared" si="91"/>
        <v>0.76765508650257752</v>
      </c>
      <c r="AC70" t="str">
        <f t="shared" si="92"/>
        <v/>
      </c>
      <c r="AE70" t="s">
        <v>75</v>
      </c>
      <c r="AF70" s="4">
        <f t="shared" si="23"/>
        <v>645.77935900700504</v>
      </c>
      <c r="AG70">
        <f t="shared" si="24"/>
        <v>2.8735062346586519E+280</v>
      </c>
      <c r="AH70">
        <f t="shared" si="25"/>
        <v>2.8735091081663163E+280</v>
      </c>
      <c r="AI70">
        <f t="shared" si="26"/>
        <v>2.8735033611538613E+280</v>
      </c>
      <c r="AJ70">
        <f t="shared" si="27"/>
        <v>2.8735062275111681E+280</v>
      </c>
      <c r="AK70">
        <f t="shared" si="28"/>
        <v>644.77935900451769</v>
      </c>
      <c r="AL70" t="str">
        <f t="shared" si="29"/>
        <v/>
      </c>
    </row>
    <row r="71" spans="2:38" x14ac:dyDescent="0.25">
      <c r="B71" s="4"/>
      <c r="M71" t="s">
        <v>46</v>
      </c>
      <c r="N71" s="4">
        <f t="shared" si="73"/>
        <v>44.978375299685489</v>
      </c>
      <c r="O71">
        <f t="shared" si="58"/>
        <v>3.4186937470185873E+19</v>
      </c>
      <c r="P71">
        <f t="shared" si="59"/>
        <v>3.4186971657140351E+19</v>
      </c>
      <c r="Q71">
        <f t="shared" si="60"/>
        <v>3.4186903283265585E+19</v>
      </c>
      <c r="R71">
        <f t="shared" si="61"/>
        <v>3.4186937382912E+19</v>
      </c>
      <c r="S71">
        <f t="shared" si="62"/>
        <v>43.978375297132644</v>
      </c>
      <c r="T71" t="str">
        <f t="shared" si="63"/>
        <v/>
      </c>
      <c r="V71" t="s">
        <v>46</v>
      </c>
      <c r="W71" s="4">
        <f t="shared" si="90"/>
        <v>0.76765508650257752</v>
      </c>
      <c r="X71">
        <f t="shared" si="54"/>
        <v>2.7768607777645116E-6</v>
      </c>
      <c r="Y71">
        <f t="shared" si="66"/>
        <v>4.3023598097491345E-6</v>
      </c>
      <c r="Z71">
        <f t="shared" si="64"/>
        <v>1.2513645080147739E-6</v>
      </c>
      <c r="AA71">
        <f t="shared" si="65"/>
        <v>1.5254976508671803</v>
      </c>
      <c r="AB71">
        <f t="shared" si="91"/>
        <v>0.76765326620427932</v>
      </c>
      <c r="AC71" t="str">
        <f t="shared" si="92"/>
        <v/>
      </c>
      <c r="AE71" t="s">
        <v>76</v>
      </c>
      <c r="AF71" s="4">
        <f t="shared" si="23"/>
        <v>644.77935900451769</v>
      </c>
      <c r="AG71">
        <f t="shared" si="24"/>
        <v>1.0571038651794884E+280</v>
      </c>
      <c r="AH71">
        <f t="shared" si="25"/>
        <v>1.0571049222838795E+280</v>
      </c>
      <c r="AI71">
        <f t="shared" si="26"/>
        <v>1.0571028080761545E+280</v>
      </c>
      <c r="AJ71">
        <f t="shared" si="27"/>
        <v>1.0571038624627884E+280</v>
      </c>
      <c r="AK71">
        <f t="shared" si="28"/>
        <v>643.7793590019478</v>
      </c>
      <c r="AL71" t="str">
        <f t="shared" si="29"/>
        <v/>
      </c>
    </row>
    <row r="72" spans="2:38" x14ac:dyDescent="0.25">
      <c r="B72" s="4"/>
      <c r="M72" t="s">
        <v>47</v>
      </c>
      <c r="N72" s="4">
        <f t="shared" si="73"/>
        <v>43.978375297132644</v>
      </c>
      <c r="O72">
        <f t="shared" si="58"/>
        <v>1.2576671419788728E+19</v>
      </c>
      <c r="P72">
        <f t="shared" si="59"/>
        <v>1.2576683996466403E+19</v>
      </c>
      <c r="Q72">
        <f t="shared" si="60"/>
        <v>1.2576658843123628E+19</v>
      </c>
      <c r="R72">
        <f t="shared" si="61"/>
        <v>1.2576671387648E+19</v>
      </c>
      <c r="S72">
        <f t="shared" si="62"/>
        <v>42.978375294577063</v>
      </c>
      <c r="T72" t="str">
        <f t="shared" si="63"/>
        <v/>
      </c>
      <c r="V72" t="s">
        <v>47</v>
      </c>
      <c r="W72" s="4">
        <f t="shared" si="90"/>
        <v>0.76765326620427932</v>
      </c>
      <c r="X72">
        <f t="shared" si="54"/>
        <v>4.5772274859245954E-12</v>
      </c>
      <c r="Y72">
        <f t="shared" si="66"/>
        <v>1.5254985805679411E-6</v>
      </c>
      <c r="Z72">
        <f t="shared" si="64"/>
        <v>-1.5254866634339947E-6</v>
      </c>
      <c r="AA72">
        <f t="shared" si="65"/>
        <v>1.5254926220009679</v>
      </c>
      <c r="AB72">
        <f t="shared" si="91"/>
        <v>0.76765326620127883</v>
      </c>
      <c r="AC72" t="str">
        <f t="shared" si="92"/>
        <v/>
      </c>
      <c r="AE72" t="s">
        <v>77</v>
      </c>
      <c r="AF72" s="4">
        <f t="shared" si="23"/>
        <v>643.7793590019478</v>
      </c>
      <c r="AG72">
        <f t="shared" si="24"/>
        <v>3.8888677818300531E+279</v>
      </c>
      <c r="AH72">
        <f t="shared" si="25"/>
        <v>3.8888716706997692E+279</v>
      </c>
      <c r="AI72">
        <f t="shared" si="26"/>
        <v>3.8888638929642255E+279</v>
      </c>
      <c r="AJ72">
        <f t="shared" si="27"/>
        <v>3.8888677718464953E+279</v>
      </c>
      <c r="AK72">
        <f t="shared" si="28"/>
        <v>642.77935899938063</v>
      </c>
      <c r="AL72" t="str">
        <f t="shared" si="29"/>
        <v/>
      </c>
    </row>
    <row r="73" spans="2:38" x14ac:dyDescent="0.25">
      <c r="B73" s="4"/>
      <c r="M73" t="s">
        <v>48</v>
      </c>
      <c r="N73" s="4">
        <f t="shared" si="73"/>
        <v>42.978375294577063</v>
      </c>
      <c r="O73">
        <f t="shared" si="58"/>
        <v>4.6266988418848256E+18</v>
      </c>
      <c r="P73">
        <f t="shared" si="59"/>
        <v>4.6267034685859686E+18</v>
      </c>
      <c r="Q73">
        <f t="shared" si="60"/>
        <v>4.626694215188309E+18</v>
      </c>
      <c r="R73">
        <f t="shared" si="61"/>
        <v>4.626698829824E+18</v>
      </c>
      <c r="S73">
        <f t="shared" si="62"/>
        <v>41.978375291970274</v>
      </c>
      <c r="T73" t="str">
        <f t="shared" si="63"/>
        <v/>
      </c>
      <c r="V73" t="s">
        <v>48</v>
      </c>
      <c r="W73" s="4">
        <f t="shared" si="90"/>
        <v>0.76765326620127883</v>
      </c>
      <c r="X73">
        <f t="shared" si="54"/>
        <v>0</v>
      </c>
      <c r="Y73">
        <f t="shared" si="66"/>
        <v>1.5254940031184105E-6</v>
      </c>
      <c r="Z73">
        <f t="shared" si="64"/>
        <v>-1.5254912408835253E-6</v>
      </c>
      <c r="AA73">
        <f t="shared" si="65"/>
        <v>1.5254926220009679</v>
      </c>
      <c r="AB73">
        <f t="shared" si="91"/>
        <v>0.76765326620127883</v>
      </c>
      <c r="AC73" t="str">
        <f t="shared" si="92"/>
        <v>STOP</v>
      </c>
      <c r="AE73" t="s">
        <v>78</v>
      </c>
      <c r="AF73" s="4">
        <f t="shared" si="23"/>
        <v>642.77935899938063</v>
      </c>
      <c r="AG73">
        <f t="shared" si="24"/>
        <v>1.4306345026965951E+279</v>
      </c>
      <c r="AH73">
        <f t="shared" si="25"/>
        <v>1.4306359333318095E+279</v>
      </c>
      <c r="AI73">
        <f t="shared" si="26"/>
        <v>1.4306330720628113E+279</v>
      </c>
      <c r="AJ73">
        <f t="shared" si="27"/>
        <v>1.4306344990891882E+279</v>
      </c>
      <c r="AK73">
        <f t="shared" si="28"/>
        <v>641.77935899685906</v>
      </c>
      <c r="AL73" t="str">
        <f t="shared" si="29"/>
        <v/>
      </c>
    </row>
    <row r="74" spans="2:38" x14ac:dyDescent="0.25">
      <c r="B74" s="4"/>
      <c r="M74" t="s">
        <v>49</v>
      </c>
      <c r="N74" s="4">
        <f t="shared" si="73"/>
        <v>41.978375291970274</v>
      </c>
      <c r="O74">
        <f t="shared" si="58"/>
        <v>1.7020673799842176E+18</v>
      </c>
      <c r="P74">
        <f t="shared" si="59"/>
        <v>1.7020690820524444E+18</v>
      </c>
      <c r="Q74">
        <f t="shared" si="60"/>
        <v>1.7020656779176929E+18</v>
      </c>
      <c r="R74">
        <f t="shared" si="61"/>
        <v>1.702067375744E+18</v>
      </c>
      <c r="S74">
        <f t="shared" si="62"/>
        <v>40.978375289479061</v>
      </c>
      <c r="T74" t="str">
        <f t="shared" si="63"/>
        <v/>
      </c>
      <c r="V74" t="s">
        <v>49</v>
      </c>
      <c r="W74" s="4">
        <f t="shared" si="90"/>
        <v>0.76765326620127883</v>
      </c>
      <c r="X74">
        <f t="shared" si="54"/>
        <v>0</v>
      </c>
      <c r="Y74">
        <f t="shared" si="66"/>
        <v>1.5254940031184105E-6</v>
      </c>
      <c r="Z74">
        <f t="shared" si="64"/>
        <v>-1.5254912408835253E-6</v>
      </c>
      <c r="AA74">
        <f t="shared" si="65"/>
        <v>1.5254926220009679</v>
      </c>
      <c r="AB74">
        <f t="shared" si="91"/>
        <v>0.76765326620127883</v>
      </c>
      <c r="AC74" t="str">
        <f t="shared" si="92"/>
        <v>STOP</v>
      </c>
      <c r="AE74" t="s">
        <v>79</v>
      </c>
      <c r="AF74" s="4">
        <f t="shared" si="23"/>
        <v>641.77935899685906</v>
      </c>
      <c r="AG74">
        <f t="shared" si="24"/>
        <v>5.2630102004550066E+278</v>
      </c>
      <c r="AH74">
        <f t="shared" si="25"/>
        <v>5.2630154634678258E+278</v>
      </c>
      <c r="AI74">
        <f t="shared" si="26"/>
        <v>5.2630049374474511E+278</v>
      </c>
      <c r="AJ74">
        <f t="shared" si="27"/>
        <v>5.2630101873107771E+278</v>
      </c>
      <c r="AK74">
        <f t="shared" si="28"/>
        <v>640.77935899436159</v>
      </c>
      <c r="AL74" t="str">
        <f t="shared" si="29"/>
        <v/>
      </c>
    </row>
    <row r="75" spans="2:38" x14ac:dyDescent="0.25">
      <c r="B75" s="4"/>
      <c r="M75" t="s">
        <v>50</v>
      </c>
      <c r="N75" s="4">
        <f t="shared" si="73"/>
        <v>40.978375289479061</v>
      </c>
      <c r="O75">
        <f t="shared" si="58"/>
        <v>6.2615559502484826E+17</v>
      </c>
      <c r="P75">
        <f t="shared" si="59"/>
        <v>6.2615622118075482E+17</v>
      </c>
      <c r="Q75">
        <f t="shared" si="60"/>
        <v>6.2615496886956787E+17</v>
      </c>
      <c r="R75">
        <f t="shared" si="61"/>
        <v>6.26155593472E+17</v>
      </c>
      <c r="S75">
        <f t="shared" si="62"/>
        <v>39.978375286999089</v>
      </c>
      <c r="T75" t="str">
        <f t="shared" si="63"/>
        <v/>
      </c>
      <c r="V75" t="s">
        <v>50</v>
      </c>
      <c r="W75" s="4">
        <f t="shared" ref="W75:W82" si="93">AB74</f>
        <v>0.76765326620127883</v>
      </c>
      <c r="X75">
        <f t="shared" ref="X75:X83" si="94">EXP(W75)-ATAN(W75)-1.5</f>
        <v>0</v>
      </c>
      <c r="Y75">
        <f t="shared" ref="Y75:Y82" si="95">EXP(W75+E$6)-ATAN(W75+E$6)-1.5</f>
        <v>1.5254940031184105E-6</v>
      </c>
      <c r="Z75">
        <f t="shared" si="64"/>
        <v>-1.5254912408835253E-6</v>
      </c>
      <c r="AA75">
        <f t="shared" ref="AA75:AA82" si="96">(Y75-Z75)/(E$6*2)</f>
        <v>1.5254926220009679</v>
      </c>
      <c r="AB75">
        <f t="shared" ref="AB75:AB82" si="97">W75-X75/AA75</f>
        <v>0.76765326620127883</v>
      </c>
      <c r="AC75" t="str">
        <f t="shared" ref="AC75:AC82" si="98">IF(W76=W75,"STOP","")</f>
        <v>STOP</v>
      </c>
      <c r="AE75" t="s">
        <v>80</v>
      </c>
      <c r="AF75" s="4">
        <f t="shared" si="23"/>
        <v>640.77935899436159</v>
      </c>
      <c r="AG75">
        <f t="shared" si="24"/>
        <v>1.9361532465874993E+278</v>
      </c>
      <c r="AH75">
        <f t="shared" si="25"/>
        <v>1.936155182741709E+278</v>
      </c>
      <c r="AI75">
        <f t="shared" si="26"/>
        <v>1.9361513104352255E+278</v>
      </c>
      <c r="AJ75">
        <f t="shared" si="27"/>
        <v>1.9361532417484618E+278</v>
      </c>
      <c r="AK75">
        <f t="shared" si="28"/>
        <v>639.7793589918623</v>
      </c>
      <c r="AL75" t="str">
        <f t="shared" si="29"/>
        <v/>
      </c>
    </row>
    <row r="76" spans="2:38" x14ac:dyDescent="0.25">
      <c r="B76" s="4"/>
      <c r="M76" t="s">
        <v>51</v>
      </c>
      <c r="N76" s="4">
        <f t="shared" si="73"/>
        <v>39.978375286999089</v>
      </c>
      <c r="O76">
        <f t="shared" si="58"/>
        <v>2.3034976981285219E+17</v>
      </c>
      <c r="P76">
        <f t="shared" si="59"/>
        <v>2.3035000016273661E+17</v>
      </c>
      <c r="Q76">
        <f t="shared" si="60"/>
        <v>2.3034953946319814E+17</v>
      </c>
      <c r="R76">
        <f t="shared" si="61"/>
        <v>2.30349769232E+17</v>
      </c>
      <c r="S76">
        <f t="shared" si="62"/>
        <v>38.97837528447748</v>
      </c>
      <c r="T76" t="str">
        <f t="shared" si="63"/>
        <v/>
      </c>
      <c r="V76" t="s">
        <v>51</v>
      </c>
      <c r="W76" s="4">
        <f t="shared" si="93"/>
        <v>0.76765326620127883</v>
      </c>
      <c r="X76">
        <f t="shared" si="94"/>
        <v>0</v>
      </c>
      <c r="Y76">
        <f t="shared" si="95"/>
        <v>1.5254940031184105E-6</v>
      </c>
      <c r="Z76">
        <f t="shared" si="64"/>
        <v>-1.5254912408835253E-6</v>
      </c>
      <c r="AA76">
        <f t="shared" si="96"/>
        <v>1.5254926220009679</v>
      </c>
      <c r="AB76">
        <f t="shared" si="97"/>
        <v>0.76765326620127883</v>
      </c>
      <c r="AC76" t="str">
        <f t="shared" si="98"/>
        <v>STOP</v>
      </c>
      <c r="AE76" t="s">
        <v>81</v>
      </c>
      <c r="AF76" s="4">
        <f t="shared" si="23"/>
        <v>639.7793589918623</v>
      </c>
      <c r="AG76">
        <f t="shared" si="24"/>
        <v>7.1227097259671023E+277</v>
      </c>
      <c r="AH76">
        <f t="shared" si="25"/>
        <v>7.1227168486803722E+277</v>
      </c>
      <c r="AI76">
        <f t="shared" si="26"/>
        <v>7.1227026032609551E+277</v>
      </c>
      <c r="AJ76">
        <f t="shared" si="27"/>
        <v>7.1227097085049886E+277</v>
      </c>
      <c r="AK76">
        <f t="shared" si="28"/>
        <v>638.77935898941064</v>
      </c>
      <c r="AL76" t="str">
        <f t="shared" si="29"/>
        <v/>
      </c>
    </row>
    <row r="77" spans="2:38" x14ac:dyDescent="0.25">
      <c r="B77" s="4"/>
      <c r="M77" t="s">
        <v>52</v>
      </c>
      <c r="N77" s="4">
        <f t="shared" si="73"/>
        <v>38.97837528447748</v>
      </c>
      <c r="O77">
        <f t="shared" si="58"/>
        <v>8.4740944379038864E+16</v>
      </c>
      <c r="P77">
        <f t="shared" si="59"/>
        <v>8.4741029120025392E+16</v>
      </c>
      <c r="Q77">
        <f t="shared" si="60"/>
        <v>8.4740859638137072E+16</v>
      </c>
      <c r="R77">
        <f t="shared" si="61"/>
        <v>8.474094416E+16</v>
      </c>
      <c r="S77">
        <f t="shared" si="62"/>
        <v>37.978375281892674</v>
      </c>
      <c r="T77" t="str">
        <f t="shared" si="63"/>
        <v/>
      </c>
      <c r="V77" t="s">
        <v>52</v>
      </c>
      <c r="W77" s="4">
        <f t="shared" si="93"/>
        <v>0.76765326620127883</v>
      </c>
      <c r="X77">
        <f t="shared" si="94"/>
        <v>0</v>
      </c>
      <c r="Y77">
        <f t="shared" si="95"/>
        <v>1.5254940031184105E-6</v>
      </c>
      <c r="Z77">
        <f t="shared" si="64"/>
        <v>-1.5254912408835253E-6</v>
      </c>
      <c r="AA77">
        <f t="shared" si="96"/>
        <v>1.5254926220009679</v>
      </c>
      <c r="AB77">
        <f t="shared" si="97"/>
        <v>0.76765326620127883</v>
      </c>
      <c r="AC77" t="str">
        <f t="shared" si="98"/>
        <v>STOP</v>
      </c>
      <c r="AE77" t="s">
        <v>82</v>
      </c>
      <c r="AF77" s="4">
        <f t="shared" si="23"/>
        <v>638.77935898941064</v>
      </c>
      <c r="AG77">
        <f t="shared" si="24"/>
        <v>2.6202984671911023E+277</v>
      </c>
      <c r="AH77">
        <f t="shared" si="25"/>
        <v>2.6203010874908733E+277</v>
      </c>
      <c r="AI77">
        <f t="shared" si="26"/>
        <v>2.620295846893952E+277</v>
      </c>
      <c r="AJ77">
        <f t="shared" si="27"/>
        <v>2.6202984606618677E+277</v>
      </c>
      <c r="AK77">
        <f t="shared" si="28"/>
        <v>637.77935898691885</v>
      </c>
      <c r="AL77" t="str">
        <f t="shared" si="29"/>
        <v/>
      </c>
    </row>
    <row r="78" spans="2:38" x14ac:dyDescent="0.25">
      <c r="B78" s="4"/>
      <c r="M78" t="s">
        <v>53</v>
      </c>
      <c r="N78" s="4">
        <f t="shared" si="73"/>
        <v>37.978375281892674</v>
      </c>
      <c r="O78">
        <f t="shared" si="58"/>
        <v>3.1174451181921208E+16</v>
      </c>
      <c r="P78">
        <f t="shared" si="59"/>
        <v>3.11744823563879E+16</v>
      </c>
      <c r="Q78">
        <f t="shared" si="60"/>
        <v>3.1174420007485692E+16</v>
      </c>
      <c r="R78">
        <f t="shared" si="61"/>
        <v>3.1174451104E+16</v>
      </c>
      <c r="S78">
        <f t="shared" si="62"/>
        <v>36.978375279393155</v>
      </c>
      <c r="T78" t="str">
        <f t="shared" si="63"/>
        <v/>
      </c>
      <c r="V78" t="s">
        <v>53</v>
      </c>
      <c r="W78" s="4">
        <f t="shared" si="93"/>
        <v>0.76765326620127883</v>
      </c>
      <c r="X78">
        <f t="shared" si="94"/>
        <v>0</v>
      </c>
      <c r="Y78">
        <f t="shared" si="95"/>
        <v>1.5254940031184105E-6</v>
      </c>
      <c r="Z78">
        <f t="shared" si="64"/>
        <v>-1.5254912408835253E-6</v>
      </c>
      <c r="AA78">
        <f t="shared" si="96"/>
        <v>1.5254926220009679</v>
      </c>
      <c r="AB78">
        <f t="shared" si="97"/>
        <v>0.76765326620127883</v>
      </c>
      <c r="AC78" t="str">
        <f t="shared" si="98"/>
        <v>STOP</v>
      </c>
      <c r="AE78" t="s">
        <v>83</v>
      </c>
      <c r="AF78" s="4">
        <f t="shared" si="23"/>
        <v>637.77935898691885</v>
      </c>
      <c r="AG78">
        <f t="shared" si="24"/>
        <v>9.6395393341068076E+276</v>
      </c>
      <c r="AH78">
        <f t="shared" si="25"/>
        <v>9.6395489736509365E+276</v>
      </c>
      <c r="AI78">
        <f t="shared" si="26"/>
        <v>9.6395296945723182E+276</v>
      </c>
      <c r="AJ78">
        <f t="shared" si="27"/>
        <v>9.6395393091331325E+276</v>
      </c>
      <c r="AK78">
        <f t="shared" si="28"/>
        <v>636.77935898432804</v>
      </c>
      <c r="AL78" t="str">
        <f t="shared" si="29"/>
        <v/>
      </c>
    </row>
    <row r="79" spans="2:38" x14ac:dyDescent="0.25">
      <c r="B79" s="4"/>
      <c r="M79" t="s">
        <v>54</v>
      </c>
      <c r="N79" s="4">
        <f t="shared" si="73"/>
        <v>36.978375279393155</v>
      </c>
      <c r="O79">
        <f t="shared" si="58"/>
        <v>1.1468439650965998E+16</v>
      </c>
      <c r="P79">
        <f t="shared" si="59"/>
        <v>1.1468451119411356E+16</v>
      </c>
      <c r="Q79">
        <f t="shared" si="60"/>
        <v>1.146842818253211E+16</v>
      </c>
      <c r="R79">
        <f t="shared" si="61"/>
        <v>1.1468439623E+16</v>
      </c>
      <c r="S79">
        <f t="shared" si="62"/>
        <v>35.978375276954637</v>
      </c>
      <c r="T79" t="str">
        <f t="shared" si="63"/>
        <v/>
      </c>
      <c r="V79" t="s">
        <v>54</v>
      </c>
      <c r="W79" s="4">
        <f t="shared" si="93"/>
        <v>0.76765326620127883</v>
      </c>
      <c r="X79">
        <f t="shared" si="94"/>
        <v>0</v>
      </c>
      <c r="Y79">
        <f t="shared" si="95"/>
        <v>1.5254940031184105E-6</v>
      </c>
      <c r="Z79">
        <f t="shared" si="64"/>
        <v>-1.5254912408835253E-6</v>
      </c>
      <c r="AA79">
        <f t="shared" si="96"/>
        <v>1.5254926220009679</v>
      </c>
      <c r="AB79">
        <f t="shared" si="97"/>
        <v>0.76765326620127883</v>
      </c>
      <c r="AC79" t="str">
        <f t="shared" si="98"/>
        <v>STOP</v>
      </c>
      <c r="AE79" t="s">
        <v>84</v>
      </c>
      <c r="AF79" s="4">
        <f t="shared" si="23"/>
        <v>636.77935898432804</v>
      </c>
      <c r="AG79">
        <f t="shared" si="24"/>
        <v>3.5461883341938517E+276</v>
      </c>
      <c r="AH79">
        <f t="shared" si="25"/>
        <v>3.5461918803839497E+276</v>
      </c>
      <c r="AI79">
        <f t="shared" si="26"/>
        <v>3.5461847880072997E+276</v>
      </c>
      <c r="AJ79">
        <f t="shared" si="27"/>
        <v>3.5461883250004704E+276</v>
      </c>
      <c r="AK79">
        <f t="shared" si="28"/>
        <v>635.77935898173553</v>
      </c>
      <c r="AL79" t="str">
        <f t="shared" si="29"/>
        <v/>
      </c>
    </row>
    <row r="80" spans="2:38" x14ac:dyDescent="0.25">
      <c r="B80" s="4"/>
      <c r="M80" t="s">
        <v>55</v>
      </c>
      <c r="N80" s="4">
        <f t="shared" si="73"/>
        <v>35.978375276954637</v>
      </c>
      <c r="O80">
        <f t="shared" si="58"/>
        <v>4219003159617663</v>
      </c>
      <c r="P80">
        <f t="shared" si="59"/>
        <v>4219007378622921.5</v>
      </c>
      <c r="Q80">
        <f t="shared" si="60"/>
        <v>4218998940616623.5</v>
      </c>
      <c r="R80">
        <f t="shared" si="61"/>
        <v>4219003149000000</v>
      </c>
      <c r="S80">
        <f t="shared" si="62"/>
        <v>34.978375274438008</v>
      </c>
      <c r="T80" t="str">
        <f t="shared" si="63"/>
        <v/>
      </c>
      <c r="V80" t="s">
        <v>55</v>
      </c>
      <c r="W80" s="4">
        <f t="shared" si="93"/>
        <v>0.76765326620127883</v>
      </c>
      <c r="X80">
        <f t="shared" si="94"/>
        <v>0</v>
      </c>
      <c r="Y80">
        <f t="shared" si="95"/>
        <v>1.5254940031184105E-6</v>
      </c>
      <c r="Z80">
        <f t="shared" si="64"/>
        <v>-1.5254912408835253E-6</v>
      </c>
      <c r="AA80">
        <f t="shared" si="96"/>
        <v>1.5254926220009679</v>
      </c>
      <c r="AB80">
        <f t="shared" si="97"/>
        <v>0.76765326620127883</v>
      </c>
      <c r="AC80" t="str">
        <f t="shared" si="98"/>
        <v>STOP</v>
      </c>
      <c r="AE80" t="s">
        <v>85</v>
      </c>
      <c r="AF80" s="4">
        <f t="shared" ref="AF80:AF143" si="99">AK79</f>
        <v>635.77935898173553</v>
      </c>
      <c r="AG80">
        <f t="shared" ref="AG80:AG143" si="100">EXP(AF80)-ATAN(AF80)-1.5</f>
        <v>1.3045697792898059E+276</v>
      </c>
      <c r="AH80">
        <f t="shared" ref="AH80:AH143" si="101">EXP(AF80+E$6)-ATAN(AF80+E$6)-1.5</f>
        <v>1.3045710838602341E+276</v>
      </c>
      <c r="AI80">
        <f t="shared" ref="AI80:AI143" si="102">EXP(AF80-E$6)-ATAN(AF80-E$6)-1.5</f>
        <v>1.3045684747206822E+276</v>
      </c>
      <c r="AJ80">
        <f t="shared" ref="AJ80:AJ143" si="103">(AH80-AI80)/(E$6*2)</f>
        <v>1.3045697759691315E+276</v>
      </c>
      <c r="AK80">
        <f t="shared" ref="AK80:AK143" si="104">AF80-AG80/AJ80</f>
        <v>634.77935897919008</v>
      </c>
      <c r="AL80" t="str">
        <f t="shared" ref="AL80:AL143" si="105">IF(AF81=AF80,"STOP","")</f>
        <v/>
      </c>
    </row>
    <row r="81" spans="2:38" x14ac:dyDescent="0.25">
      <c r="B81" s="4"/>
      <c r="M81" t="s">
        <v>56</v>
      </c>
      <c r="N81" s="4">
        <f t="shared" si="73"/>
        <v>34.978375274438008</v>
      </c>
      <c r="O81">
        <f t="shared" si="58"/>
        <v>1552084520754673</v>
      </c>
      <c r="P81">
        <f t="shared" si="59"/>
        <v>1552086072839965.8</v>
      </c>
      <c r="Q81">
        <f t="shared" si="60"/>
        <v>1552082968670932.3</v>
      </c>
      <c r="R81">
        <f t="shared" si="61"/>
        <v>1552084516750000</v>
      </c>
      <c r="S81">
        <f t="shared" si="62"/>
        <v>33.978375271857821</v>
      </c>
      <c r="T81" t="str">
        <f t="shared" si="63"/>
        <v/>
      </c>
      <c r="V81" t="s">
        <v>56</v>
      </c>
      <c r="W81" s="4">
        <f t="shared" si="93"/>
        <v>0.76765326620127883</v>
      </c>
      <c r="X81">
        <f t="shared" si="94"/>
        <v>0</v>
      </c>
      <c r="Y81">
        <f t="shared" si="95"/>
        <v>1.5254940031184105E-6</v>
      </c>
      <c r="Z81">
        <f t="shared" si="64"/>
        <v>-1.5254912408835253E-6</v>
      </c>
      <c r="AA81">
        <f t="shared" si="96"/>
        <v>1.5254926220009679</v>
      </c>
      <c r="AB81">
        <f t="shared" si="97"/>
        <v>0.76765326620127883</v>
      </c>
      <c r="AC81" t="str">
        <f t="shared" si="98"/>
        <v>STOP</v>
      </c>
      <c r="AE81" t="s">
        <v>86</v>
      </c>
      <c r="AF81" s="4">
        <f t="shared" si="99"/>
        <v>634.77935897919008</v>
      </c>
      <c r="AG81">
        <f t="shared" si="100"/>
        <v>4.7992440015266287E+275</v>
      </c>
      <c r="AH81">
        <f t="shared" si="101"/>
        <v>4.7992488007730175E+275</v>
      </c>
      <c r="AI81">
        <f t="shared" si="102"/>
        <v>4.799239202285039E+275</v>
      </c>
      <c r="AJ81">
        <f t="shared" si="103"/>
        <v>4.799243989248244E+275</v>
      </c>
      <c r="AK81">
        <f t="shared" si="104"/>
        <v>633.77935897663167</v>
      </c>
      <c r="AL81" t="str">
        <f t="shared" si="105"/>
        <v/>
      </c>
    </row>
    <row r="82" spans="2:38" x14ac:dyDescent="0.25">
      <c r="B82" s="4"/>
      <c r="M82" t="s">
        <v>57</v>
      </c>
      <c r="N82" s="4">
        <f t="shared" si="73"/>
        <v>33.978375271857821</v>
      </c>
      <c r="O82">
        <f t="shared" si="58"/>
        <v>570979984672838.13</v>
      </c>
      <c r="P82">
        <f t="shared" si="59"/>
        <v>570980555653106.75</v>
      </c>
      <c r="Q82">
        <f t="shared" si="60"/>
        <v>570979413693140.38</v>
      </c>
      <c r="R82">
        <f t="shared" si="61"/>
        <v>570979983187500</v>
      </c>
      <c r="S82">
        <f t="shared" si="62"/>
        <v>32.978375269256439</v>
      </c>
      <c r="T82" t="str">
        <f t="shared" si="63"/>
        <v/>
      </c>
      <c r="V82" t="s">
        <v>57</v>
      </c>
      <c r="W82" s="4">
        <f t="shared" si="93"/>
        <v>0.76765326620127883</v>
      </c>
      <c r="X82">
        <f t="shared" si="94"/>
        <v>0</v>
      </c>
      <c r="Y82">
        <f t="shared" si="95"/>
        <v>1.5254940031184105E-6</v>
      </c>
      <c r="Z82">
        <f t="shared" si="64"/>
        <v>-1.5254912408835253E-6</v>
      </c>
      <c r="AA82">
        <f t="shared" si="96"/>
        <v>1.5254926220009679</v>
      </c>
      <c r="AB82">
        <f t="shared" si="97"/>
        <v>0.76765326620127883</v>
      </c>
      <c r="AC82" t="str">
        <f t="shared" si="98"/>
        <v>STOP</v>
      </c>
      <c r="AE82" t="s">
        <v>87</v>
      </c>
      <c r="AF82" s="4">
        <f t="shared" si="99"/>
        <v>633.77935897663167</v>
      </c>
      <c r="AG82">
        <f t="shared" si="100"/>
        <v>1.765543196810032E+275</v>
      </c>
      <c r="AH82">
        <f t="shared" si="101"/>
        <v>1.7655449623541072E+275</v>
      </c>
      <c r="AI82">
        <f t="shared" si="102"/>
        <v>1.7655414312677222E+275</v>
      </c>
      <c r="AJ82">
        <f t="shared" si="103"/>
        <v>1.7655431924696113E+275</v>
      </c>
      <c r="AK82">
        <f t="shared" si="104"/>
        <v>632.77935897417331</v>
      </c>
      <c r="AL82" t="str">
        <f t="shared" si="105"/>
        <v/>
      </c>
    </row>
    <row r="83" spans="2:38" x14ac:dyDescent="0.25">
      <c r="B83" s="4"/>
      <c r="M83" t="s">
        <v>58</v>
      </c>
      <c r="N83" s="4">
        <f t="shared" si="73"/>
        <v>32.978375269256439</v>
      </c>
      <c r="O83">
        <f t="shared" si="58"/>
        <v>210051797135095.44</v>
      </c>
      <c r="P83">
        <f t="shared" si="59"/>
        <v>210052007186997.06</v>
      </c>
      <c r="Q83">
        <f t="shared" si="60"/>
        <v>210051587083403.88</v>
      </c>
      <c r="R83">
        <f t="shared" si="61"/>
        <v>210051796593750</v>
      </c>
      <c r="S83">
        <f t="shared" si="62"/>
        <v>31.97837526667924</v>
      </c>
      <c r="T83" t="str">
        <f t="shared" si="63"/>
        <v/>
      </c>
      <c r="V83" t="s">
        <v>58</v>
      </c>
      <c r="W83" s="4">
        <f t="shared" ref="W83" si="106">AB82</f>
        <v>0.76765326620127883</v>
      </c>
      <c r="X83">
        <f t="shared" si="94"/>
        <v>0</v>
      </c>
      <c r="Y83">
        <f t="shared" ref="Y83" si="107">EXP(W83+E$6)-ATAN(W83+E$6)-1.5</f>
        <v>1.5254940031184105E-6</v>
      </c>
      <c r="Z83">
        <f t="shared" si="64"/>
        <v>-1.5254912408835253E-6</v>
      </c>
      <c r="AA83">
        <f t="shared" ref="AA83" si="108">(Y83-Z83)/(E$6*2)</f>
        <v>1.5254926220009679</v>
      </c>
      <c r="AB83">
        <f t="shared" ref="AB83" si="109">W83-X83/AA83</f>
        <v>0.76765326620127883</v>
      </c>
      <c r="AC83" t="str">
        <f t="shared" ref="AC83" si="110">IF(W84=W83,"STOP","")</f>
        <v/>
      </c>
      <c r="AE83" t="s">
        <v>88</v>
      </c>
      <c r="AF83" s="4">
        <f t="shared" si="99"/>
        <v>632.77935897417331</v>
      </c>
      <c r="AG83">
        <f t="shared" si="100"/>
        <v>6.4950704300979151E+274</v>
      </c>
      <c r="AH83">
        <f t="shared" si="101"/>
        <v>6.4950769251715762E+274</v>
      </c>
      <c r="AI83">
        <f t="shared" si="102"/>
        <v>6.4950639350307485E+274</v>
      </c>
      <c r="AJ83">
        <f t="shared" si="103"/>
        <v>6.4950704138941843E+274</v>
      </c>
      <c r="AK83">
        <f t="shared" si="104"/>
        <v>631.77935897167856</v>
      </c>
      <c r="AL83" t="str">
        <f t="shared" si="105"/>
        <v/>
      </c>
    </row>
    <row r="84" spans="2:38" x14ac:dyDescent="0.25">
      <c r="B84" s="4"/>
      <c r="M84" t="s">
        <v>59</v>
      </c>
      <c r="N84" s="4">
        <f t="shared" si="73"/>
        <v>31.97837526667924</v>
      </c>
      <c r="O84">
        <f t="shared" si="58"/>
        <v>77273737547964.359</v>
      </c>
      <c r="P84">
        <f t="shared" si="59"/>
        <v>77273814821740.625</v>
      </c>
      <c r="Q84">
        <f t="shared" si="60"/>
        <v>77273660274265.359</v>
      </c>
      <c r="R84">
        <f t="shared" si="61"/>
        <v>77273737632812.5</v>
      </c>
      <c r="S84">
        <f t="shared" si="62"/>
        <v>30.97837526777726</v>
      </c>
      <c r="T84" t="str">
        <f t="shared" si="63"/>
        <v/>
      </c>
      <c r="W84" s="4"/>
      <c r="AE84" t="s">
        <v>89</v>
      </c>
      <c r="AF84" s="4">
        <f t="shared" si="99"/>
        <v>631.77935897167856</v>
      </c>
      <c r="AG84">
        <f t="shared" si="100"/>
        <v>2.3894028742326321E+274</v>
      </c>
      <c r="AH84">
        <f t="shared" si="101"/>
        <v>2.3894052636366949E+274</v>
      </c>
      <c r="AI84">
        <f t="shared" si="102"/>
        <v>2.3894004848309587E+274</v>
      </c>
      <c r="AJ84">
        <f t="shared" si="103"/>
        <v>2.3894028680766436E+274</v>
      </c>
      <c r="AK84">
        <f t="shared" si="104"/>
        <v>630.77935896910219</v>
      </c>
      <c r="AL84" t="str">
        <f t="shared" si="105"/>
        <v/>
      </c>
    </row>
    <row r="85" spans="2:38" x14ac:dyDescent="0.25">
      <c r="B85" s="4"/>
      <c r="M85" t="s">
        <v>60</v>
      </c>
      <c r="N85" s="4">
        <f t="shared" si="73"/>
        <v>30.97837526777726</v>
      </c>
      <c r="O85">
        <f t="shared" si="58"/>
        <v>28427419417585.77</v>
      </c>
      <c r="P85">
        <f t="shared" si="59"/>
        <v>28427447845019.43</v>
      </c>
      <c r="Q85">
        <f t="shared" si="60"/>
        <v>28427390990180.535</v>
      </c>
      <c r="R85">
        <f t="shared" si="61"/>
        <v>28427419447265.625</v>
      </c>
      <c r="S85">
        <f t="shared" si="62"/>
        <v>29.978375268821317</v>
      </c>
      <c r="T85" t="str">
        <f t="shared" si="63"/>
        <v/>
      </c>
      <c r="W85" s="4"/>
      <c r="AE85" t="s">
        <v>90</v>
      </c>
      <c r="AF85" s="4">
        <f t="shared" si="99"/>
        <v>630.77935896910219</v>
      </c>
      <c r="AG85">
        <f t="shared" si="100"/>
        <v>8.7901219184147718E+273</v>
      </c>
      <c r="AH85">
        <f t="shared" si="101"/>
        <v>8.7901307085410624E+273</v>
      </c>
      <c r="AI85">
        <f t="shared" si="102"/>
        <v>8.7901131282972702E+273</v>
      </c>
      <c r="AJ85">
        <f t="shared" si="103"/>
        <v>8.7901218961158872E+273</v>
      </c>
      <c r="AK85">
        <f t="shared" si="104"/>
        <v>629.77935896656538</v>
      </c>
      <c r="AL85" t="str">
        <f t="shared" si="105"/>
        <v/>
      </c>
    </row>
    <row r="86" spans="2:38" x14ac:dyDescent="0.25">
      <c r="B86" s="4"/>
      <c r="M86" t="s">
        <v>61</v>
      </c>
      <c r="N86" s="4">
        <f t="shared" si="73"/>
        <v>29.978375268821317</v>
      </c>
      <c r="O86">
        <f t="shared" si="58"/>
        <v>10457863180204.35</v>
      </c>
      <c r="P86">
        <f t="shared" si="59"/>
        <v>10457873638072.77</v>
      </c>
      <c r="Q86">
        <f t="shared" si="60"/>
        <v>10457852722346.389</v>
      </c>
      <c r="R86">
        <f t="shared" si="61"/>
        <v>10457863190429.688</v>
      </c>
      <c r="S86">
        <f t="shared" si="62"/>
        <v>28.978375269799084</v>
      </c>
      <c r="T86" t="str">
        <f t="shared" si="63"/>
        <v/>
      </c>
      <c r="V86" t="s">
        <v>204</v>
      </c>
      <c r="W86" s="12">
        <f>W109</f>
        <v>0.76765326620127894</v>
      </c>
      <c r="AE86" t="s">
        <v>91</v>
      </c>
      <c r="AF86" s="4">
        <f t="shared" si="99"/>
        <v>629.77935896656538</v>
      </c>
      <c r="AG86">
        <f t="shared" si="100"/>
        <v>3.233705130971983E+273</v>
      </c>
      <c r="AH86">
        <f t="shared" si="101"/>
        <v>3.2337083646787228E+273</v>
      </c>
      <c r="AI86">
        <f t="shared" si="102"/>
        <v>3.2337018972684774E+273</v>
      </c>
      <c r="AJ86">
        <f t="shared" si="103"/>
        <v>3.2337051227006502E+273</v>
      </c>
      <c r="AK86">
        <f t="shared" si="104"/>
        <v>628.77935896400754</v>
      </c>
      <c r="AL86" t="str">
        <f t="shared" si="105"/>
        <v/>
      </c>
    </row>
    <row r="87" spans="2:38" x14ac:dyDescent="0.25">
      <c r="B87" s="4"/>
      <c r="M87" t="s">
        <v>62</v>
      </c>
      <c r="N87" s="4">
        <f t="shared" si="73"/>
        <v>28.978375269799084</v>
      </c>
      <c r="O87">
        <f t="shared" si="58"/>
        <v>3847232866340.7583</v>
      </c>
      <c r="P87">
        <f t="shared" si="59"/>
        <v>3847236713575.5522</v>
      </c>
      <c r="Q87">
        <f t="shared" si="60"/>
        <v>3847229019109.8115</v>
      </c>
      <c r="R87">
        <f t="shared" si="61"/>
        <v>3847232870361.3281</v>
      </c>
      <c r="S87">
        <f t="shared" si="62"/>
        <v>27.97837527084414</v>
      </c>
      <c r="T87" t="str">
        <f t="shared" si="63"/>
        <v/>
      </c>
      <c r="W87" s="3" t="s">
        <v>205</v>
      </c>
      <c r="X87" s="2" t="s">
        <v>8</v>
      </c>
      <c r="Y87" s="2" t="s">
        <v>7</v>
      </c>
      <c r="Z87" s="2" t="s">
        <v>9</v>
      </c>
      <c r="AA87" s="2" t="s">
        <v>10</v>
      </c>
      <c r="AB87" s="2" t="s">
        <v>11</v>
      </c>
      <c r="AC87" s="2" t="s">
        <v>12</v>
      </c>
      <c r="AE87" t="s">
        <v>92</v>
      </c>
      <c r="AF87" s="4">
        <f t="shared" si="99"/>
        <v>628.77935896400754</v>
      </c>
      <c r="AG87">
        <f t="shared" si="100"/>
        <v>1.1896136334523574E+273</v>
      </c>
      <c r="AH87">
        <f t="shared" si="101"/>
        <v>1.1896148230665826E+273</v>
      </c>
      <c r="AI87">
        <f t="shared" si="102"/>
        <v>1.1896124438393217E+273</v>
      </c>
      <c r="AJ87">
        <f t="shared" si="103"/>
        <v>1.1896136304120197E+273</v>
      </c>
      <c r="AK87">
        <f t="shared" si="104"/>
        <v>627.77935896145186</v>
      </c>
      <c r="AL87" t="str">
        <f t="shared" si="105"/>
        <v/>
      </c>
    </row>
    <row r="88" spans="2:38" x14ac:dyDescent="0.25">
      <c r="B88" s="4"/>
      <c r="M88" t="s">
        <v>63</v>
      </c>
      <c r="N88" s="4">
        <f t="shared" si="73"/>
        <v>27.97837527084414</v>
      </c>
      <c r="O88">
        <f t="shared" si="58"/>
        <v>1415317878403.012</v>
      </c>
      <c r="P88">
        <f t="shared" si="59"/>
        <v>1415319293721.5996</v>
      </c>
      <c r="Q88">
        <f t="shared" si="60"/>
        <v>1415316463085.8398</v>
      </c>
      <c r="R88">
        <f t="shared" si="61"/>
        <v>1415317879882.8125</v>
      </c>
      <c r="S88">
        <f t="shared" si="62"/>
        <v>26.9783752718897</v>
      </c>
      <c r="T88" t="str">
        <f t="shared" si="63"/>
        <v/>
      </c>
      <c r="V88" t="s">
        <v>1</v>
      </c>
      <c r="W88">
        <v>0.01</v>
      </c>
      <c r="X88">
        <f t="shared" ref="X88:X95" si="111">EXP(W88)-ATAN(W88)-1.5</f>
        <v>-0.49994949960249735</v>
      </c>
      <c r="Y88">
        <f>EXP(W88+E$6)-ATAN(W88+E$6)-1.5</f>
        <v>-0.49994948945182505</v>
      </c>
      <c r="Z88">
        <f t="shared" ref="Z88:Z110" si="112">EXP(W88-E$6)-ATAN(W88-Z$2)-1.5</f>
        <v>-0.49995050965215926</v>
      </c>
      <c r="AA88">
        <f>(Y88-Z88)/(E$6*2)</f>
        <v>0.51010016710595352</v>
      </c>
      <c r="AB88">
        <f t="shared" ref="AB88:AB95" si="113">W88-X88/AA88</f>
        <v>0.99010063874112053</v>
      </c>
      <c r="AC88" t="str">
        <f t="shared" ref="AC88:AC95" si="114">IF(W89=W88,"STOP","")</f>
        <v/>
      </c>
      <c r="AE88" t="s">
        <v>93</v>
      </c>
      <c r="AF88" s="4">
        <f t="shared" si="99"/>
        <v>627.77935896145186</v>
      </c>
      <c r="AG88">
        <f t="shared" si="100"/>
        <v>4.3763439756592871E+272</v>
      </c>
      <c r="AH88">
        <f t="shared" si="101"/>
        <v>4.3763483520054397E+272</v>
      </c>
      <c r="AI88">
        <f t="shared" si="102"/>
        <v>4.3763395993175105E+272</v>
      </c>
      <c r="AJ88">
        <f t="shared" si="103"/>
        <v>4.3763439645787857E+272</v>
      </c>
      <c r="AK88">
        <f t="shared" si="104"/>
        <v>626.77935895891994</v>
      </c>
      <c r="AL88" t="str">
        <f t="shared" si="105"/>
        <v/>
      </c>
    </row>
    <row r="89" spans="2:38" x14ac:dyDescent="0.25">
      <c r="B89" s="4"/>
      <c r="M89" t="s">
        <v>64</v>
      </c>
      <c r="N89" s="4">
        <f t="shared" ref="N89:N99" si="115">S88</f>
        <v>26.9783752718897</v>
      </c>
      <c r="O89">
        <f t="shared" si="58"/>
        <v>520666350729.3222</v>
      </c>
      <c r="P89">
        <f t="shared" si="59"/>
        <v>520666871395.93378</v>
      </c>
      <c r="Q89">
        <f t="shared" si="60"/>
        <v>520665830063.23126</v>
      </c>
      <c r="R89">
        <f t="shared" si="61"/>
        <v>520666351257.32422</v>
      </c>
      <c r="S89">
        <f t="shared" ref="S89:S99" si="116">N89-O89/R89</f>
        <v>25.97837527290379</v>
      </c>
      <c r="T89" t="str">
        <f t="shared" ref="T89:T99" si="117">IF(N90=N89,"STOP","")</f>
        <v/>
      </c>
      <c r="V89" t="s">
        <v>2</v>
      </c>
      <c r="W89">
        <f t="shared" ref="W89:W95" si="118">AB88</f>
        <v>0.99010063874112053</v>
      </c>
      <c r="X89">
        <f t="shared" si="111"/>
        <v>0.41108142583822738</v>
      </c>
      <c r="Y89">
        <f t="shared" ref="Y89:Y95" si="119">EXP(W89+E$6)-ATAN(W89+E$6)-1.5</f>
        <v>0.4110836123709749</v>
      </c>
      <c r="Z89">
        <f t="shared" si="112"/>
        <v>0.41107873433424458</v>
      </c>
      <c r="AA89">
        <f t="shared" ref="AA89:AA95" si="120">(Y89-Z89)/(E$6*2)</f>
        <v>2.43901836516347</v>
      </c>
      <c r="AB89">
        <f t="shared" si="113"/>
        <v>0.82155683779656496</v>
      </c>
      <c r="AC89" t="str">
        <f t="shared" si="114"/>
        <v/>
      </c>
      <c r="AE89" t="s">
        <v>94</v>
      </c>
      <c r="AF89" s="4">
        <f t="shared" si="99"/>
        <v>626.77935895891994</v>
      </c>
      <c r="AG89">
        <f t="shared" si="100"/>
        <v>1.6099669720632399E+272</v>
      </c>
      <c r="AH89">
        <f t="shared" si="101"/>
        <v>1.6099685820310127E+272</v>
      </c>
      <c r="AI89">
        <f t="shared" si="102"/>
        <v>1.6099653620970767E+272</v>
      </c>
      <c r="AJ89">
        <f t="shared" si="103"/>
        <v>1.6099669679964004E+272</v>
      </c>
      <c r="AK89">
        <f t="shared" si="104"/>
        <v>625.77935895639393</v>
      </c>
      <c r="AL89" t="str">
        <f t="shared" si="105"/>
        <v/>
      </c>
    </row>
    <row r="90" spans="2:38" x14ac:dyDescent="0.25">
      <c r="B90" s="4"/>
      <c r="M90" t="s">
        <v>65</v>
      </c>
      <c r="N90" s="4">
        <f t="shared" si="115"/>
        <v>25.97837527290379</v>
      </c>
      <c r="O90">
        <f t="shared" si="58"/>
        <v>191542446335.40228</v>
      </c>
      <c r="P90">
        <f t="shared" si="59"/>
        <v>191542637877.94458</v>
      </c>
      <c r="Q90">
        <f t="shared" si="60"/>
        <v>191542254793.05151</v>
      </c>
      <c r="R90">
        <f t="shared" si="61"/>
        <v>191542446533.20313</v>
      </c>
      <c r="S90">
        <f t="shared" si="116"/>
        <v>24.978375273936464</v>
      </c>
      <c r="T90" t="str">
        <f t="shared" si="117"/>
        <v/>
      </c>
      <c r="V90" t="s">
        <v>3</v>
      </c>
      <c r="W90">
        <f t="shared" si="118"/>
        <v>0.82155683779656496</v>
      </c>
      <c r="X90">
        <f t="shared" si="111"/>
        <v>8.6289550659054637E-2</v>
      </c>
      <c r="Y90">
        <f t="shared" si="119"/>
        <v>8.6291227667137038E-2</v>
      </c>
      <c r="Z90">
        <f t="shared" si="112"/>
        <v>8.6287276622801112E-2</v>
      </c>
      <c r="AA90">
        <f t="shared" si="120"/>
        <v>1.9755221679629287</v>
      </c>
      <c r="AB90">
        <f t="shared" si="113"/>
        <v>0.7778774744067668</v>
      </c>
      <c r="AC90" t="str">
        <f t="shared" si="114"/>
        <v/>
      </c>
      <c r="AE90" t="s">
        <v>95</v>
      </c>
      <c r="AF90" s="4">
        <f t="shared" si="99"/>
        <v>625.77935895639393</v>
      </c>
      <c r="AG90">
        <f t="shared" si="100"/>
        <v>5.9227374849101567E+271</v>
      </c>
      <c r="AH90">
        <f t="shared" si="101"/>
        <v>5.9227434076505877E+271</v>
      </c>
      <c r="AI90">
        <f t="shared" si="102"/>
        <v>5.9227315621756477E+271</v>
      </c>
      <c r="AJ90">
        <f t="shared" si="103"/>
        <v>5.9227374700090436E+271</v>
      </c>
      <c r="AK90">
        <f t="shared" si="104"/>
        <v>624.77935895387805</v>
      </c>
      <c r="AL90" t="str">
        <f t="shared" si="105"/>
        <v/>
      </c>
    </row>
    <row r="91" spans="2:38" x14ac:dyDescent="0.25">
      <c r="B91" s="4"/>
      <c r="M91" t="s">
        <v>66</v>
      </c>
      <c r="N91" s="4">
        <f t="shared" si="115"/>
        <v>24.978375273936464</v>
      </c>
      <c r="O91">
        <f t="shared" si="58"/>
        <v>70464528189.330429</v>
      </c>
      <c r="P91">
        <f t="shared" si="59"/>
        <v>70464598653.893936</v>
      </c>
      <c r="Q91">
        <f t="shared" si="60"/>
        <v>70464457724.837402</v>
      </c>
      <c r="R91">
        <f t="shared" si="61"/>
        <v>70464528266.906738</v>
      </c>
      <c r="S91">
        <f t="shared" si="116"/>
        <v>23.97837527503739</v>
      </c>
      <c r="T91" t="str">
        <f t="shared" si="117"/>
        <v/>
      </c>
      <c r="V91" t="s">
        <v>4</v>
      </c>
      <c r="W91">
        <f t="shared" si="118"/>
        <v>0.7778774744067668</v>
      </c>
      <c r="X91">
        <f t="shared" si="111"/>
        <v>1.5741660682223824E-2</v>
      </c>
      <c r="Y91">
        <f t="shared" si="119"/>
        <v>1.5743214513841419E-2</v>
      </c>
      <c r="Z91">
        <f t="shared" si="112"/>
        <v>1.5739483836366919E-2</v>
      </c>
      <c r="AA91">
        <f t="shared" si="120"/>
        <v>1.865338737250255</v>
      </c>
      <c r="AB91">
        <f t="shared" si="113"/>
        <v>0.76943843844623716</v>
      </c>
      <c r="AC91" t="str">
        <f t="shared" si="114"/>
        <v/>
      </c>
      <c r="AE91" t="s">
        <v>96</v>
      </c>
      <c r="AF91" s="4">
        <f t="shared" si="99"/>
        <v>624.77935895387805</v>
      </c>
      <c r="AG91">
        <f t="shared" si="100"/>
        <v>2.1788533506721475E+271</v>
      </c>
      <c r="AH91">
        <f t="shared" si="101"/>
        <v>2.1788555295265821E+271</v>
      </c>
      <c r="AI91">
        <f t="shared" si="102"/>
        <v>2.1788511718198916E+271</v>
      </c>
      <c r="AJ91">
        <f t="shared" si="103"/>
        <v>2.178853345268967E+271</v>
      </c>
      <c r="AK91">
        <f t="shared" si="104"/>
        <v>623.77935895139819</v>
      </c>
      <c r="AL91" t="str">
        <f t="shared" si="105"/>
        <v/>
      </c>
    </row>
    <row r="92" spans="2:38" x14ac:dyDescent="0.25">
      <c r="B92" s="4"/>
      <c r="M92" t="s">
        <v>67</v>
      </c>
      <c r="N92" s="4">
        <f t="shared" si="115"/>
        <v>23.97837527503739</v>
      </c>
      <c r="O92">
        <f t="shared" si="58"/>
        <v>25922451279.324757</v>
      </c>
      <c r="P92">
        <f t="shared" si="59"/>
        <v>25922477201.789028</v>
      </c>
      <c r="Q92">
        <f t="shared" si="60"/>
        <v>25922425356.88641</v>
      </c>
      <c r="R92">
        <f t="shared" si="61"/>
        <v>25922451309.204102</v>
      </c>
      <c r="S92">
        <f t="shared" si="116"/>
        <v>22.978375276190032</v>
      </c>
      <c r="T92" t="str">
        <f t="shared" si="117"/>
        <v/>
      </c>
      <c r="V92" t="s">
        <v>5</v>
      </c>
      <c r="W92" s="4">
        <f t="shared" si="118"/>
        <v>0.76943843844623716</v>
      </c>
      <c r="X92">
        <f t="shared" si="111"/>
        <v>2.7276706587620048E-3</v>
      </c>
      <c r="Y92">
        <f t="shared" si="119"/>
        <v>2.7292010872046468E-3</v>
      </c>
      <c r="Z92">
        <f t="shared" si="112"/>
        <v>2.7255121060885124E-3</v>
      </c>
      <c r="AA92">
        <f t="shared" si="120"/>
        <v>1.8444905580672355</v>
      </c>
      <c r="AB92">
        <f t="shared" si="113"/>
        <v>0.76795961783269051</v>
      </c>
      <c r="AC92" t="str">
        <f t="shared" si="114"/>
        <v/>
      </c>
      <c r="AE92" t="s">
        <v>97</v>
      </c>
      <c r="AF92" s="4">
        <f t="shared" si="99"/>
        <v>623.77935895139819</v>
      </c>
      <c r="AG92">
        <f t="shared" si="100"/>
        <v>8.0155535105205635E+270</v>
      </c>
      <c r="AH92">
        <f t="shared" si="101"/>
        <v>8.0155615260780616E+270</v>
      </c>
      <c r="AI92">
        <f t="shared" si="102"/>
        <v>8.0155454949710816E+270</v>
      </c>
      <c r="AJ92">
        <f t="shared" si="103"/>
        <v>8.0155534899860082E+270</v>
      </c>
      <c r="AK92">
        <f t="shared" si="104"/>
        <v>622.77935894883638</v>
      </c>
      <c r="AL92" t="str">
        <f t="shared" si="105"/>
        <v/>
      </c>
    </row>
    <row r="93" spans="2:38" x14ac:dyDescent="0.25">
      <c r="B93" s="4"/>
      <c r="M93" t="s">
        <v>68</v>
      </c>
      <c r="N93" s="4">
        <f t="shared" si="115"/>
        <v>22.978375276190032</v>
      </c>
      <c r="O93">
        <f t="shared" si="58"/>
        <v>9536336899.5109653</v>
      </c>
      <c r="P93">
        <f t="shared" si="59"/>
        <v>9536346435.8526459</v>
      </c>
      <c r="Q93">
        <f t="shared" si="60"/>
        <v>9536327363.1788197</v>
      </c>
      <c r="R93">
        <f t="shared" si="61"/>
        <v>9536336913.1088257</v>
      </c>
      <c r="S93">
        <f t="shared" si="116"/>
        <v>21.978375277615932</v>
      </c>
      <c r="T93" t="str">
        <f t="shared" si="117"/>
        <v/>
      </c>
      <c r="V93" t="s">
        <v>13</v>
      </c>
      <c r="W93" s="4">
        <f t="shared" si="118"/>
        <v>0.76795961783269051</v>
      </c>
      <c r="X93">
        <f t="shared" si="111"/>
        <v>4.6746679603004715E-4</v>
      </c>
      <c r="Y93">
        <f t="shared" si="119"/>
        <v>4.6899313642612128E-4</v>
      </c>
      <c r="Z93">
        <f t="shared" si="112"/>
        <v>4.6531143310990508E-4</v>
      </c>
      <c r="AA93">
        <f t="shared" si="120"/>
        <v>1.8408516581081003</v>
      </c>
      <c r="AB93">
        <f t="shared" si="113"/>
        <v>0.76770567732967876</v>
      </c>
      <c r="AC93" t="str">
        <f t="shared" si="114"/>
        <v/>
      </c>
      <c r="AE93" t="s">
        <v>98</v>
      </c>
      <c r="AF93" s="4">
        <f t="shared" si="99"/>
        <v>622.77935894883638</v>
      </c>
      <c r="AG93">
        <f t="shared" si="100"/>
        <v>2.9487573385759144E+270</v>
      </c>
      <c r="AH93">
        <f t="shared" si="101"/>
        <v>2.9487602873347201E+270</v>
      </c>
      <c r="AI93">
        <f t="shared" si="102"/>
        <v>2.9487543898200578E+270</v>
      </c>
      <c r="AJ93">
        <f t="shared" si="103"/>
        <v>2.9487573311612027E+270</v>
      </c>
      <c r="AK93">
        <f t="shared" si="104"/>
        <v>621.77935894632185</v>
      </c>
      <c r="AL93" t="str">
        <f t="shared" si="105"/>
        <v/>
      </c>
    </row>
    <row r="94" spans="2:38" x14ac:dyDescent="0.25">
      <c r="B94" s="4"/>
      <c r="M94" t="s">
        <v>69</v>
      </c>
      <c r="N94" s="4">
        <f t="shared" si="115"/>
        <v>21.978375277615932</v>
      </c>
      <c r="O94">
        <f t="shared" si="58"/>
        <v>3508222292.505425</v>
      </c>
      <c r="P94">
        <f t="shared" si="59"/>
        <v>3508225800.7294779</v>
      </c>
      <c r="Q94">
        <f t="shared" si="60"/>
        <v>3508218784.2848797</v>
      </c>
      <c r="R94">
        <f t="shared" si="61"/>
        <v>3508222299.0989685</v>
      </c>
      <c r="S94">
        <f t="shared" si="116"/>
        <v>20.978375279495385</v>
      </c>
      <c r="T94" t="str">
        <f t="shared" si="117"/>
        <v/>
      </c>
      <c r="V94" t="s">
        <v>14</v>
      </c>
      <c r="W94" s="4">
        <f t="shared" si="118"/>
        <v>0.76770567732967876</v>
      </c>
      <c r="X94">
        <f t="shared" si="111"/>
        <v>7.9956583972640161E-5</v>
      </c>
      <c r="Y94">
        <f t="shared" si="119"/>
        <v>8.1482222766160461E-5</v>
      </c>
      <c r="Z94">
        <f t="shared" si="112"/>
        <v>7.7801768316509978E-5</v>
      </c>
      <c r="AA94">
        <f t="shared" si="120"/>
        <v>1.8402272248252416</v>
      </c>
      <c r="AB94">
        <f t="shared" si="113"/>
        <v>0.76766222803010642</v>
      </c>
      <c r="AC94" t="str">
        <f t="shared" si="114"/>
        <v/>
      </c>
      <c r="AE94" t="s">
        <v>99</v>
      </c>
      <c r="AF94" s="4">
        <f t="shared" si="99"/>
        <v>621.77935894632185</v>
      </c>
      <c r="AG94">
        <f t="shared" si="100"/>
        <v>1.0847871991377719E+270</v>
      </c>
      <c r="AH94">
        <f t="shared" si="101"/>
        <v>1.0847882839255108E+270</v>
      </c>
      <c r="AI94">
        <f t="shared" si="102"/>
        <v>1.084786114351118E+270</v>
      </c>
      <c r="AJ94">
        <f t="shared" si="103"/>
        <v>1.0847871963880207E+270</v>
      </c>
      <c r="AK94">
        <f t="shared" si="104"/>
        <v>620.77935894378697</v>
      </c>
      <c r="AL94" t="str">
        <f t="shared" si="105"/>
        <v/>
      </c>
    </row>
    <row r="95" spans="2:38" x14ac:dyDescent="0.25">
      <c r="B95" s="4"/>
      <c r="M95" t="s">
        <v>70</v>
      </c>
      <c r="N95" s="4">
        <f t="shared" si="115"/>
        <v>20.978375279495385</v>
      </c>
      <c r="O95">
        <f t="shared" si="58"/>
        <v>1290602856.9875114</v>
      </c>
      <c r="P95">
        <f t="shared" si="59"/>
        <v>1290604147.591018</v>
      </c>
      <c r="Q95">
        <f t="shared" si="60"/>
        <v>1290601566.3852954</v>
      </c>
      <c r="R95">
        <f t="shared" si="61"/>
        <v>1290602861.2852097</v>
      </c>
      <c r="S95">
        <f t="shared" si="116"/>
        <v>19.978375282825379</v>
      </c>
      <c r="T95" t="str">
        <f t="shared" si="117"/>
        <v/>
      </c>
      <c r="V95" t="s">
        <v>15</v>
      </c>
      <c r="W95" s="4">
        <f t="shared" si="118"/>
        <v>0.76766222803010642</v>
      </c>
      <c r="X95">
        <f t="shared" si="111"/>
        <v>1.3671314691210412E-5</v>
      </c>
      <c r="Y95">
        <f t="shared" si="119"/>
        <v>1.5196833452080227E-5</v>
      </c>
      <c r="Z95">
        <f t="shared" si="112"/>
        <v>1.1516592658855629E-5</v>
      </c>
      <c r="AA95">
        <f t="shared" si="120"/>
        <v>1.8401203966122992</v>
      </c>
      <c r="AB95">
        <f t="shared" si="113"/>
        <v>0.76765479845391327</v>
      </c>
      <c r="AC95" t="str">
        <f t="shared" si="114"/>
        <v/>
      </c>
      <c r="AE95" t="s">
        <v>100</v>
      </c>
      <c r="AF95" s="4">
        <f t="shared" si="99"/>
        <v>620.77935894378697</v>
      </c>
      <c r="AG95">
        <f t="shared" si="100"/>
        <v>3.9907090759714262E+269</v>
      </c>
      <c r="AH95">
        <f t="shared" si="101"/>
        <v>3.9907130666824874E+269</v>
      </c>
      <c r="AI95">
        <f t="shared" si="102"/>
        <v>3.9907050852643558E+269</v>
      </c>
      <c r="AJ95">
        <f t="shared" si="103"/>
        <v>3.9907090657922827E+269</v>
      </c>
      <c r="AK95">
        <f t="shared" si="104"/>
        <v>619.7793589412363</v>
      </c>
      <c r="AL95" t="str">
        <f t="shared" si="105"/>
        <v/>
      </c>
    </row>
    <row r="96" spans="2:38" x14ac:dyDescent="0.25">
      <c r="B96" s="4"/>
      <c r="M96" t="s">
        <v>71</v>
      </c>
      <c r="N96" s="4">
        <f t="shared" si="115"/>
        <v>19.978375282825379</v>
      </c>
      <c r="O96">
        <f t="shared" si="58"/>
        <v>474786257.47524399</v>
      </c>
      <c r="P96">
        <f t="shared" si="59"/>
        <v>474786732.26174241</v>
      </c>
      <c r="Q96">
        <f t="shared" si="60"/>
        <v>474785782.68922043</v>
      </c>
      <c r="R96">
        <f t="shared" si="61"/>
        <v>474786260.99228859</v>
      </c>
      <c r="S96">
        <f t="shared" si="116"/>
        <v>18.978375290233018</v>
      </c>
      <c r="T96" t="str">
        <f t="shared" si="117"/>
        <v/>
      </c>
      <c r="V96" t="s">
        <v>16</v>
      </c>
      <c r="W96" s="4">
        <f t="shared" ref="W96:W105" si="121">AB95</f>
        <v>0.76765479845391327</v>
      </c>
      <c r="X96">
        <f t="shared" ref="X96:X105" si="122">EXP(W96)-ATAN(W96)-1.5</f>
        <v>2.3374433317790988E-6</v>
      </c>
      <c r="Y96">
        <f t="shared" ref="Y96:Y107" si="123">EXP(W96+E$6)-ATAN(W96+E$6)-1.5</f>
        <v>3.862941567733813E-6</v>
      </c>
      <c r="Z96">
        <f t="shared" si="112"/>
        <v>1.8273730750806294E-7</v>
      </c>
      <c r="AA96">
        <f t="shared" ref="AA96:AA107" si="124">(Y96-Z96)/(E$6*2)</f>
        <v>1.840102130112875</v>
      </c>
      <c r="AB96">
        <f t="shared" ref="AB96:AB105" si="125">W96-X96/AA96</f>
        <v>0.76765352817478394</v>
      </c>
      <c r="AC96" t="str">
        <f t="shared" ref="AC96:AC105" si="126">IF(W97=W96,"STOP","")</f>
        <v/>
      </c>
      <c r="AE96" t="s">
        <v>101</v>
      </c>
      <c r="AF96" s="4">
        <f t="shared" si="99"/>
        <v>619.7793589412363</v>
      </c>
      <c r="AG96">
        <f t="shared" si="100"/>
        <v>1.4680998210015214E+269</v>
      </c>
      <c r="AH96">
        <f t="shared" si="101"/>
        <v>1.4681012891020729E+269</v>
      </c>
      <c r="AI96">
        <f t="shared" si="102"/>
        <v>1.4680983529024383E+269</v>
      </c>
      <c r="AJ96">
        <f t="shared" si="103"/>
        <v>1.4680998173134825E+269</v>
      </c>
      <c r="AK96">
        <f t="shared" si="104"/>
        <v>618.77935893872416</v>
      </c>
      <c r="AL96" t="str">
        <f t="shared" si="105"/>
        <v/>
      </c>
    </row>
    <row r="97" spans="2:38" x14ac:dyDescent="0.25">
      <c r="B97" s="4"/>
      <c r="M97" t="s">
        <v>72</v>
      </c>
      <c r="N97" s="4">
        <f t="shared" si="115"/>
        <v>18.978375290233018</v>
      </c>
      <c r="O97">
        <f t="shared" si="58"/>
        <v>174664102.46285278</v>
      </c>
      <c r="P97">
        <f t="shared" si="59"/>
        <v>174664277.12704578</v>
      </c>
      <c r="Q97">
        <f t="shared" si="60"/>
        <v>174663927.79883444</v>
      </c>
      <c r="R97">
        <f t="shared" si="61"/>
        <v>174664105.66866398</v>
      </c>
      <c r="S97">
        <f t="shared" si="116"/>
        <v>17.978375308587168</v>
      </c>
      <c r="T97" t="str">
        <f t="shared" si="117"/>
        <v/>
      </c>
      <c r="V97" t="s">
        <v>17</v>
      </c>
      <c r="W97" s="4">
        <f t="shared" si="121"/>
        <v>0.76765352817478394</v>
      </c>
      <c r="X97">
        <f t="shared" si="122"/>
        <v>3.9963874387538567E-7</v>
      </c>
      <c r="Y97">
        <f t="shared" si="123"/>
        <v>1.9251334708592083E-6</v>
      </c>
      <c r="Z97">
        <f t="shared" si="112"/>
        <v>-1.7550645430297607E-6</v>
      </c>
      <c r="AA97">
        <f t="shared" si="124"/>
        <v>1.8400990069444845</v>
      </c>
      <c r="AB97">
        <f t="shared" si="125"/>
        <v>0.76765331099150069</v>
      </c>
      <c r="AC97" t="str">
        <f t="shared" si="126"/>
        <v/>
      </c>
      <c r="AE97" t="s">
        <v>102</v>
      </c>
      <c r="AF97" s="4">
        <f t="shared" si="99"/>
        <v>618.77935893872416</v>
      </c>
      <c r="AG97">
        <f t="shared" si="100"/>
        <v>5.4008374037716929E+268</v>
      </c>
      <c r="AH97">
        <f t="shared" si="101"/>
        <v>5.4008428046117839E+268</v>
      </c>
      <c r="AI97">
        <f t="shared" si="102"/>
        <v>5.400832002937003E+268</v>
      </c>
      <c r="AJ97">
        <f t="shared" si="103"/>
        <v>5.4008373904648077E+268</v>
      </c>
      <c r="AK97">
        <f t="shared" si="104"/>
        <v>617.77935893626034</v>
      </c>
      <c r="AL97" t="str">
        <f t="shared" si="105"/>
        <v/>
      </c>
    </row>
    <row r="98" spans="2:38" x14ac:dyDescent="0.25">
      <c r="M98" t="s">
        <v>75</v>
      </c>
      <c r="N98" s="4">
        <f t="shared" si="115"/>
        <v>17.978375308587168</v>
      </c>
      <c r="O98">
        <f t="shared" ref="O98" si="127">EXP(N98)-ATAN(N98)-1.5</f>
        <v>64255331.681183279</v>
      </c>
      <c r="P98">
        <f t="shared" ref="P98:P122" si="128">EXP(N98+E$6)-ATAN(N98+E$6)-1.5</f>
        <v>64255395.93655017</v>
      </c>
      <c r="Q98">
        <f t="shared" ref="Q98:Q122" si="129">EXP(N98-E$6)-ATAN(N98-E$6)-1.5</f>
        <v>64255267.425880648</v>
      </c>
      <c r="R98">
        <f t="shared" ref="R98:R122" si="130">(P98-Q98)/(E$6*2)</f>
        <v>64255334.760993719</v>
      </c>
      <c r="S98">
        <f t="shared" si="116"/>
        <v>16.978375356517979</v>
      </c>
      <c r="T98" t="str">
        <f t="shared" si="117"/>
        <v/>
      </c>
      <c r="V98" t="s">
        <v>18</v>
      </c>
      <c r="W98" s="4">
        <f t="shared" si="121"/>
        <v>0.76765331099150069</v>
      </c>
      <c r="X98">
        <f t="shared" si="122"/>
        <v>6.8327155489100733E-8</v>
      </c>
      <c r="Y98">
        <f t="shared" si="123"/>
        <v>1.5938212827304454E-6</v>
      </c>
      <c r="Z98">
        <f t="shared" si="112"/>
        <v>-2.0863756633460184E-6</v>
      </c>
      <c r="AA98">
        <f t="shared" si="124"/>
        <v>1.8400984730382319</v>
      </c>
      <c r="AB98">
        <f t="shared" si="125"/>
        <v>0.76765327385916426</v>
      </c>
      <c r="AC98" t="str">
        <f t="shared" si="126"/>
        <v/>
      </c>
      <c r="AE98" t="s">
        <v>103</v>
      </c>
      <c r="AF98" s="4">
        <f t="shared" si="99"/>
        <v>617.77935893626034</v>
      </c>
      <c r="AG98">
        <f t="shared" si="100"/>
        <v>1.9868570410620936E+268</v>
      </c>
      <c r="AH98">
        <f t="shared" si="101"/>
        <v>1.986859027920123E+268</v>
      </c>
      <c r="AI98">
        <f t="shared" si="102"/>
        <v>1.986855054206051E+268</v>
      </c>
      <c r="AJ98">
        <f t="shared" si="103"/>
        <v>1.9868570360410256E+268</v>
      </c>
      <c r="AK98">
        <f t="shared" si="104"/>
        <v>616.77935893373319</v>
      </c>
      <c r="AL98" t="str">
        <f t="shared" si="105"/>
        <v/>
      </c>
    </row>
    <row r="99" spans="2:38" x14ac:dyDescent="0.25">
      <c r="M99" t="s">
        <v>76</v>
      </c>
      <c r="N99" s="4">
        <f t="shared" si="115"/>
        <v>16.978375356517979</v>
      </c>
      <c r="O99">
        <f t="shared" si="58"/>
        <v>23638214.741434034</v>
      </c>
      <c r="P99">
        <f t="shared" si="128"/>
        <v>23638238.379663628</v>
      </c>
      <c r="Q99">
        <f t="shared" si="129"/>
        <v>23638191.103228081</v>
      </c>
      <c r="R99">
        <f t="shared" si="130"/>
        <v>23638217.773288488</v>
      </c>
      <c r="S99">
        <f t="shared" si="116"/>
        <v>15.978375484778683</v>
      </c>
      <c r="T99" t="str">
        <f t="shared" si="117"/>
        <v/>
      </c>
      <c r="V99" t="s">
        <v>19</v>
      </c>
      <c r="W99" s="4">
        <f t="shared" si="121"/>
        <v>0.76765327385916426</v>
      </c>
      <c r="X99">
        <f t="shared" si="122"/>
        <v>1.1682047773575732E-8</v>
      </c>
      <c r="Y99">
        <f t="shared" si="123"/>
        <v>1.5371760722082684E-6</v>
      </c>
      <c r="Z99">
        <f t="shared" si="112"/>
        <v>-2.1430206911254857E-6</v>
      </c>
      <c r="AA99">
        <f t="shared" si="124"/>
        <v>1.840098381666877</v>
      </c>
      <c r="AB99">
        <f t="shared" si="125"/>
        <v>0.76765326751056473</v>
      </c>
      <c r="AC99" t="str">
        <f t="shared" si="126"/>
        <v/>
      </c>
      <c r="AE99" t="s">
        <v>104</v>
      </c>
      <c r="AF99" s="4">
        <f t="shared" si="99"/>
        <v>616.77935893373319</v>
      </c>
      <c r="AG99">
        <f t="shared" si="100"/>
        <v>7.3092385610631801E+267</v>
      </c>
      <c r="AH99">
        <f t="shared" si="101"/>
        <v>7.3092458703053778E+267</v>
      </c>
      <c r="AI99">
        <f t="shared" si="102"/>
        <v>7.309231251828292E+267</v>
      </c>
      <c r="AJ99">
        <f t="shared" si="103"/>
        <v>7.3092385429259111E+267</v>
      </c>
      <c r="AK99">
        <f t="shared" si="104"/>
        <v>615.77935893125175</v>
      </c>
      <c r="AL99" t="str">
        <f t="shared" si="105"/>
        <v/>
      </c>
    </row>
    <row r="100" spans="2:38" x14ac:dyDescent="0.25">
      <c r="M100" t="s">
        <v>77</v>
      </c>
      <c r="N100" s="4">
        <f t="shared" ref="N100:N122" si="131">S99</f>
        <v>15.978375484778683</v>
      </c>
      <c r="O100">
        <f t="shared" ref="O100:O122" si="132">EXP(N100)-ATAN(N100)-1.5</f>
        <v>8696012.4444733392</v>
      </c>
      <c r="P100">
        <f t="shared" si="128"/>
        <v>8696021.1404931284</v>
      </c>
      <c r="Q100">
        <f t="shared" si="129"/>
        <v>8696003.7484622449</v>
      </c>
      <c r="R100">
        <f t="shared" si="130"/>
        <v>8696015.4417902231</v>
      </c>
      <c r="S100">
        <f t="shared" ref="S100:S122" si="133">N100-O100/R100</f>
        <v>14.978375829455725</v>
      </c>
      <c r="T100" t="str">
        <f t="shared" ref="T100:T122" si="134">IF(N101=N100,"STOP","")</f>
        <v/>
      </c>
      <c r="V100" t="s">
        <v>20</v>
      </c>
      <c r="W100" s="4">
        <f t="shared" si="121"/>
        <v>0.76765326751056473</v>
      </c>
      <c r="X100">
        <f t="shared" si="122"/>
        <v>1.9973058762445817E-9</v>
      </c>
      <c r="Y100">
        <f t="shared" si="123"/>
        <v>1.527491312991458E-6</v>
      </c>
      <c r="Z100">
        <f t="shared" si="112"/>
        <v>-2.1527054192560513E-6</v>
      </c>
      <c r="AA100">
        <f t="shared" si="124"/>
        <v>1.8400983661237547</v>
      </c>
      <c r="AB100">
        <f t="shared" si="125"/>
        <v>0.76765326642513043</v>
      </c>
      <c r="AC100" t="str">
        <f t="shared" si="126"/>
        <v/>
      </c>
      <c r="AE100" t="s">
        <v>105</v>
      </c>
      <c r="AF100" s="4">
        <f t="shared" si="99"/>
        <v>615.77935893125175</v>
      </c>
      <c r="AG100">
        <f t="shared" si="100"/>
        <v>2.688918590560283E+267</v>
      </c>
      <c r="AH100">
        <f t="shared" si="101"/>
        <v>2.6889212794802109E+267</v>
      </c>
      <c r="AI100">
        <f t="shared" si="102"/>
        <v>2.6889159016430435E+267</v>
      </c>
      <c r="AJ100">
        <f t="shared" si="103"/>
        <v>2.688918583673412E+267</v>
      </c>
      <c r="AK100">
        <f t="shared" si="104"/>
        <v>614.7793589286905</v>
      </c>
      <c r="AL100" t="str">
        <f t="shared" si="105"/>
        <v/>
      </c>
    </row>
    <row r="101" spans="2:38" x14ac:dyDescent="0.25">
      <c r="M101" t="s">
        <v>78</v>
      </c>
      <c r="N101" s="4">
        <f t="shared" si="131"/>
        <v>14.978375829455725</v>
      </c>
      <c r="O101">
        <f t="shared" si="132"/>
        <v>3199083.4037011121</v>
      </c>
      <c r="P101">
        <f t="shared" si="128"/>
        <v>3199086.6027891128</v>
      </c>
      <c r="Q101">
        <f t="shared" si="129"/>
        <v>3199080.204616311</v>
      </c>
      <c r="R101">
        <f t="shared" si="130"/>
        <v>3199086.4009130746</v>
      </c>
      <c r="S101">
        <f t="shared" si="133"/>
        <v>13.978376766351946</v>
      </c>
      <c r="T101" t="str">
        <f t="shared" si="134"/>
        <v/>
      </c>
      <c r="V101" t="s">
        <v>21</v>
      </c>
      <c r="W101" s="4">
        <f t="shared" si="121"/>
        <v>0.76765326642513043</v>
      </c>
      <c r="X101">
        <f t="shared" si="122"/>
        <v>3.4148395222644012E-10</v>
      </c>
      <c r="Y101">
        <f t="shared" si="123"/>
        <v>1.5258354877367708E-6</v>
      </c>
      <c r="Z101">
        <f t="shared" si="112"/>
        <v>-2.1543612389596234E-6</v>
      </c>
      <c r="AA101">
        <f t="shared" si="124"/>
        <v>1.8400983633481971</v>
      </c>
      <c r="AB101">
        <f t="shared" si="125"/>
        <v>0.76765326623955121</v>
      </c>
      <c r="AC101" t="str">
        <f t="shared" si="126"/>
        <v/>
      </c>
      <c r="AE101" t="s">
        <v>106</v>
      </c>
      <c r="AF101" s="4">
        <f t="shared" si="99"/>
        <v>614.7793589286905</v>
      </c>
      <c r="AG101">
        <f t="shared" si="100"/>
        <v>9.8919786591723533E+266</v>
      </c>
      <c r="AH101">
        <f t="shared" si="101"/>
        <v>9.8919885511559334E+266</v>
      </c>
      <c r="AI101">
        <f t="shared" si="102"/>
        <v>9.891968767198665E+266</v>
      </c>
      <c r="AJ101">
        <f t="shared" si="103"/>
        <v>9.891978634210483E+266</v>
      </c>
      <c r="AK101">
        <f t="shared" si="104"/>
        <v>613.77935892616711</v>
      </c>
      <c r="AL101" t="str">
        <f t="shared" si="105"/>
        <v/>
      </c>
    </row>
    <row r="102" spans="2:38" x14ac:dyDescent="0.25">
      <c r="M102" t="s">
        <v>79</v>
      </c>
      <c r="N102" s="4">
        <f t="shared" si="131"/>
        <v>13.978376766351946</v>
      </c>
      <c r="O102">
        <f t="shared" si="132"/>
        <v>1176876.2232071776</v>
      </c>
      <c r="P102">
        <f t="shared" si="128"/>
        <v>1176877.4000869826</v>
      </c>
      <c r="Q102">
        <f t="shared" si="129"/>
        <v>1176875.0463285495</v>
      </c>
      <c r="R102">
        <f t="shared" si="130"/>
        <v>1176879.2165676132</v>
      </c>
      <c r="S102">
        <f t="shared" si="133"/>
        <v>12.978379309824881</v>
      </c>
      <c r="T102" t="str">
        <f t="shared" si="134"/>
        <v/>
      </c>
      <c r="V102" t="s">
        <v>22</v>
      </c>
      <c r="W102" s="4">
        <f t="shared" si="121"/>
        <v>0.76765326623955121</v>
      </c>
      <c r="X102">
        <f t="shared" si="122"/>
        <v>5.8383964329777882E-11</v>
      </c>
      <c r="Y102">
        <f t="shared" si="123"/>
        <v>1.5255523875268295E-6</v>
      </c>
      <c r="Z102">
        <f t="shared" si="112"/>
        <v>-2.1546443385034308E-6</v>
      </c>
      <c r="AA102">
        <f t="shared" si="124"/>
        <v>1.8400983630151302</v>
      </c>
      <c r="AB102">
        <f t="shared" si="125"/>
        <v>0.76765326620782248</v>
      </c>
      <c r="AC102" t="str">
        <f t="shared" si="126"/>
        <v/>
      </c>
      <c r="AE102" t="s">
        <v>107</v>
      </c>
      <c r="AF102" s="4">
        <f t="shared" si="99"/>
        <v>613.77935892616711</v>
      </c>
      <c r="AG102">
        <f t="shared" si="100"/>
        <v>3.6390555720333909E+266</v>
      </c>
      <c r="AH102">
        <f t="shared" si="101"/>
        <v>3.6390592110907733E+266</v>
      </c>
      <c r="AI102">
        <f t="shared" si="102"/>
        <v>3.6390519329796479E+266</v>
      </c>
      <c r="AJ102">
        <f t="shared" si="103"/>
        <v>3.6390555626867369E+266</v>
      </c>
      <c r="AK102">
        <f t="shared" si="104"/>
        <v>612.77935892359869</v>
      </c>
      <c r="AL102" t="str">
        <f t="shared" si="105"/>
        <v/>
      </c>
    </row>
    <row r="103" spans="2:38" x14ac:dyDescent="0.25">
      <c r="M103" t="s">
        <v>80</v>
      </c>
      <c r="N103" s="4">
        <f t="shared" si="131"/>
        <v>12.978379309824881</v>
      </c>
      <c r="O103">
        <f t="shared" si="132"/>
        <v>432947.77803138451</v>
      </c>
      <c r="P103">
        <f t="shared" si="128"/>
        <v>432948.2109823667</v>
      </c>
      <c r="Q103">
        <f t="shared" si="129"/>
        <v>432947.34508083534</v>
      </c>
      <c r="R103">
        <f t="shared" si="130"/>
        <v>432950.7656802889</v>
      </c>
      <c r="S103">
        <f t="shared" si="133"/>
        <v>11.978386210491518</v>
      </c>
      <c r="T103" t="str">
        <f t="shared" si="134"/>
        <v/>
      </c>
      <c r="V103" t="s">
        <v>23</v>
      </c>
      <c r="W103" s="4">
        <f t="shared" si="121"/>
        <v>0.76765326620782248</v>
      </c>
      <c r="X103">
        <f t="shared" si="122"/>
        <v>9.9822372590097075E-12</v>
      </c>
      <c r="Y103">
        <f t="shared" si="123"/>
        <v>1.5255039853556696E-6</v>
      </c>
      <c r="Z103">
        <f t="shared" si="112"/>
        <v>-2.1546927402305016E-6</v>
      </c>
      <c r="AA103">
        <f t="shared" si="124"/>
        <v>1.8400983627930856</v>
      </c>
      <c r="AB103">
        <f t="shared" si="125"/>
        <v>0.7676532662023976</v>
      </c>
      <c r="AC103" t="str">
        <f t="shared" si="126"/>
        <v/>
      </c>
      <c r="AE103" t="s">
        <v>108</v>
      </c>
      <c r="AF103" s="4">
        <f t="shared" si="99"/>
        <v>612.77935892359869</v>
      </c>
      <c r="AG103">
        <f t="shared" si="100"/>
        <v>1.3387337267930462E+266</v>
      </c>
      <c r="AH103">
        <f t="shared" si="101"/>
        <v>1.3387350655274389E+266</v>
      </c>
      <c r="AI103">
        <f t="shared" si="102"/>
        <v>1.338732388059992E+266</v>
      </c>
      <c r="AJ103">
        <f t="shared" si="103"/>
        <v>1.3387337234656165E+266</v>
      </c>
      <c r="AK103">
        <f t="shared" si="104"/>
        <v>611.77935892111316</v>
      </c>
      <c r="AL103" t="str">
        <f t="shared" si="105"/>
        <v/>
      </c>
    </row>
    <row r="104" spans="2:38" x14ac:dyDescent="0.25">
      <c r="M104" t="s">
        <v>81</v>
      </c>
      <c r="N104" s="4">
        <f t="shared" si="131"/>
        <v>11.978386210491518</v>
      </c>
      <c r="O104">
        <f t="shared" si="132"/>
        <v>159271.79962442527</v>
      </c>
      <c r="P104">
        <f t="shared" si="128"/>
        <v>159271.958899285</v>
      </c>
      <c r="Q104">
        <f t="shared" si="129"/>
        <v>159271.6403497248</v>
      </c>
      <c r="R104">
        <f t="shared" si="130"/>
        <v>159274.78010416962</v>
      </c>
      <c r="S104">
        <f t="shared" si="133"/>
        <v>10.978404923308089</v>
      </c>
      <c r="T104" t="str">
        <f t="shared" si="134"/>
        <v/>
      </c>
      <c r="V104" t="s">
        <v>24</v>
      </c>
      <c r="W104" s="4">
        <f t="shared" si="121"/>
        <v>0.7676532662023976</v>
      </c>
      <c r="X104">
        <f t="shared" si="122"/>
        <v>1.7066348334537906E-12</v>
      </c>
      <c r="Y104">
        <f t="shared" si="123"/>
        <v>1.5254957099752886E-6</v>
      </c>
      <c r="Z104">
        <f t="shared" si="112"/>
        <v>-2.1547010158329272E-6</v>
      </c>
      <c r="AA104">
        <f t="shared" si="124"/>
        <v>1.8400983629041079</v>
      </c>
      <c r="AB104">
        <f t="shared" si="125"/>
        <v>0.76765326620147012</v>
      </c>
      <c r="AC104" t="str">
        <f t="shared" si="126"/>
        <v/>
      </c>
      <c r="AE104" t="s">
        <v>109</v>
      </c>
      <c r="AF104" s="4">
        <f t="shared" si="99"/>
        <v>611.77935892111316</v>
      </c>
      <c r="AG104">
        <f t="shared" si="100"/>
        <v>4.9249261406588039E+265</v>
      </c>
      <c r="AH104">
        <f t="shared" si="101"/>
        <v>4.9249310655873942E+265</v>
      </c>
      <c r="AI104">
        <f t="shared" si="102"/>
        <v>4.924921215735138E+265</v>
      </c>
      <c r="AJ104">
        <f t="shared" si="103"/>
        <v>4.9249261281238613E+265</v>
      </c>
      <c r="AK104">
        <f t="shared" si="104"/>
        <v>610.77935891856794</v>
      </c>
      <c r="AL104" t="str">
        <f t="shared" si="105"/>
        <v/>
      </c>
    </row>
    <row r="105" spans="2:38" x14ac:dyDescent="0.25">
      <c r="M105" t="s">
        <v>82</v>
      </c>
      <c r="N105" s="4">
        <f t="shared" si="131"/>
        <v>10.978404923308089</v>
      </c>
      <c r="O105">
        <f t="shared" si="132"/>
        <v>58592.036190600338</v>
      </c>
      <c r="P105">
        <f t="shared" si="128"/>
        <v>58592.094785637513</v>
      </c>
      <c r="Q105">
        <f t="shared" si="129"/>
        <v>58591.977595621756</v>
      </c>
      <c r="R105">
        <f t="shared" si="130"/>
        <v>58595.007878466276</v>
      </c>
      <c r="S105">
        <f t="shared" si="133"/>
        <v>9.9784556390255794</v>
      </c>
      <c r="T105" t="str">
        <f t="shared" si="134"/>
        <v/>
      </c>
      <c r="V105" t="s">
        <v>25</v>
      </c>
      <c r="W105" s="4">
        <f t="shared" si="121"/>
        <v>0.76765326620147012</v>
      </c>
      <c r="X105">
        <f t="shared" si="122"/>
        <v>2.9154456626656611E-13</v>
      </c>
      <c r="Y105">
        <f t="shared" si="123"/>
        <v>1.5254942948850214E-6</v>
      </c>
      <c r="Z105">
        <f t="shared" si="112"/>
        <v>-2.1547024309231944E-6</v>
      </c>
      <c r="AA105">
        <f t="shared" si="124"/>
        <v>1.8400983629041079</v>
      </c>
      <c r="AB105">
        <f t="shared" si="125"/>
        <v>0.76765326620131169</v>
      </c>
      <c r="AC105" t="str">
        <f t="shared" si="126"/>
        <v/>
      </c>
      <c r="AE105" t="s">
        <v>110</v>
      </c>
      <c r="AF105" s="4">
        <f t="shared" si="99"/>
        <v>610.77935891856794</v>
      </c>
      <c r="AG105">
        <f t="shared" si="100"/>
        <v>1.8117790718248107E+265</v>
      </c>
      <c r="AH105">
        <f t="shared" si="101"/>
        <v>1.811780883604784E+265</v>
      </c>
      <c r="AI105">
        <f t="shared" si="102"/>
        <v>1.8117772600466495E+265</v>
      </c>
      <c r="AJ105">
        <f t="shared" si="103"/>
        <v>1.8117790672361788E+265</v>
      </c>
      <c r="AK105">
        <f t="shared" si="104"/>
        <v>609.77935891603522</v>
      </c>
      <c r="AL105" t="str">
        <f t="shared" si="105"/>
        <v/>
      </c>
    </row>
    <row r="106" spans="2:38" x14ac:dyDescent="0.25">
      <c r="M106" t="s">
        <v>83</v>
      </c>
      <c r="N106" s="4">
        <f t="shared" si="131"/>
        <v>9.9784556390255794</v>
      </c>
      <c r="O106">
        <f t="shared" si="132"/>
        <v>21554.024133418261</v>
      </c>
      <c r="P106">
        <f t="shared" si="128"/>
        <v>21554.045690414128</v>
      </c>
      <c r="Q106">
        <f t="shared" si="129"/>
        <v>21554.002576443949</v>
      </c>
      <c r="R106">
        <f t="shared" si="130"/>
        <v>21556.985089773661</v>
      </c>
      <c r="S106">
        <f t="shared" si="133"/>
        <v>8.9785929938710307</v>
      </c>
      <c r="T106" t="str">
        <f t="shared" si="134"/>
        <v/>
      </c>
      <c r="V106" t="s">
        <v>26</v>
      </c>
      <c r="W106" s="4">
        <f>AB105</f>
        <v>0.76765326620131169</v>
      </c>
      <c r="X106">
        <f>EXP(W106)-ATAN(W106)-1.5</f>
        <v>5.0182080713057076E-14</v>
      </c>
      <c r="Y106">
        <f t="shared" si="123"/>
        <v>1.5254940533004913E-6</v>
      </c>
      <c r="Z106">
        <f t="shared" si="112"/>
        <v>-2.1547026722856799E-6</v>
      </c>
      <c r="AA106">
        <f t="shared" si="124"/>
        <v>1.8400983627930856</v>
      </c>
      <c r="AB106">
        <f>W106-X106/AA106</f>
        <v>0.76765326620128438</v>
      </c>
      <c r="AC106" t="str">
        <f>IF(W107=W106,"STOP","")</f>
        <v/>
      </c>
      <c r="AE106" t="s">
        <v>111</v>
      </c>
      <c r="AF106" s="4">
        <f t="shared" si="99"/>
        <v>609.77935891603522</v>
      </c>
      <c r="AG106">
        <f t="shared" si="100"/>
        <v>6.6651627078092983E+264</v>
      </c>
      <c r="AH106">
        <f t="shared" si="101"/>
        <v>6.665169372975322E+264</v>
      </c>
      <c r="AI106">
        <f t="shared" si="102"/>
        <v>6.6651560426499404E+264</v>
      </c>
      <c r="AJ106">
        <f t="shared" si="103"/>
        <v>6.6651626908212339E+264</v>
      </c>
      <c r="AK106">
        <f t="shared" si="104"/>
        <v>608.77935891348648</v>
      </c>
      <c r="AL106" t="str">
        <f t="shared" si="105"/>
        <v/>
      </c>
    </row>
    <row r="107" spans="2:38" x14ac:dyDescent="0.25">
      <c r="M107" t="s">
        <v>84</v>
      </c>
      <c r="N107" s="4">
        <f t="shared" si="131"/>
        <v>8.9785929938710307</v>
      </c>
      <c r="O107">
        <f t="shared" si="132"/>
        <v>7928.5047642006803</v>
      </c>
      <c r="P107">
        <f t="shared" si="128"/>
        <v>7928.5126956570293</v>
      </c>
      <c r="Q107">
        <f t="shared" si="129"/>
        <v>7928.4968327522638</v>
      </c>
      <c r="R107">
        <f t="shared" si="130"/>
        <v>7931.452382763382</v>
      </c>
      <c r="S107">
        <f t="shared" si="133"/>
        <v>7.9789646305424062</v>
      </c>
      <c r="T107" t="str">
        <f t="shared" si="134"/>
        <v/>
      </c>
      <c r="V107" t="s">
        <v>27</v>
      </c>
      <c r="W107" s="4">
        <f>AB106</f>
        <v>0.76765326620128438</v>
      </c>
      <c r="X107">
        <f>EXP(W107)-ATAN(W107)-1.5</f>
        <v>8.2156503822261584E-15</v>
      </c>
      <c r="Y107">
        <f t="shared" si="123"/>
        <v>1.5254940115561055E-6</v>
      </c>
      <c r="Z107">
        <f t="shared" si="112"/>
        <v>-2.1547027142521102E-6</v>
      </c>
      <c r="AA107">
        <f t="shared" si="124"/>
        <v>1.8400983629041079</v>
      </c>
      <c r="AB107">
        <f>W107-X107/AA107</f>
        <v>0.76765326620127994</v>
      </c>
      <c r="AC107" t="str">
        <f>IF(W108=W107,"STOP","")</f>
        <v/>
      </c>
      <c r="AE107" t="s">
        <v>112</v>
      </c>
      <c r="AF107" s="4">
        <f t="shared" si="99"/>
        <v>608.77935891348648</v>
      </c>
      <c r="AG107">
        <f t="shared" si="100"/>
        <v>2.451976326016159E+264</v>
      </c>
      <c r="AH107">
        <f t="shared" si="101"/>
        <v>2.451978777993705E+264</v>
      </c>
      <c r="AI107">
        <f t="shared" si="102"/>
        <v>2.4519738740410652E+264</v>
      </c>
      <c r="AJ107">
        <f t="shared" si="103"/>
        <v>2.451976319920507E+264</v>
      </c>
      <c r="AK107">
        <f t="shared" si="104"/>
        <v>607.77935891100049</v>
      </c>
      <c r="AL107" t="str">
        <f t="shared" si="105"/>
        <v/>
      </c>
    </row>
    <row r="108" spans="2:38" x14ac:dyDescent="0.25">
      <c r="M108" t="s">
        <v>85</v>
      </c>
      <c r="N108" s="4">
        <f t="shared" si="131"/>
        <v>7.9789646305424062</v>
      </c>
      <c r="O108">
        <f t="shared" si="132"/>
        <v>2915.9612346293052</v>
      </c>
      <c r="P108">
        <f t="shared" si="128"/>
        <v>2915.9641535226519</v>
      </c>
      <c r="Q108">
        <f t="shared" si="129"/>
        <v>2915.9583157388774</v>
      </c>
      <c r="R108">
        <f t="shared" si="130"/>
        <v>2918.8918872478098</v>
      </c>
      <c r="S108">
        <f t="shared" si="133"/>
        <v>6.9799686597191322</v>
      </c>
      <c r="T108" t="str">
        <f t="shared" si="134"/>
        <v/>
      </c>
      <c r="V108" t="s">
        <v>28</v>
      </c>
      <c r="W108" s="4">
        <f t="shared" ref="W108:W110" si="135">AB107</f>
        <v>0.76765326620127994</v>
      </c>
      <c r="X108">
        <f t="shared" ref="X108:X110" si="136">EXP(W108)-ATAN(W108)-1.5</f>
        <v>1.7763568394002505E-15</v>
      </c>
      <c r="Y108">
        <f t="shared" ref="Y108:Y110" si="137">EXP(W108+E$6)-ATAN(W108+E$6)-1.5</f>
        <v>1.5254940048947674E-6</v>
      </c>
      <c r="Z108">
        <f t="shared" si="112"/>
        <v>-2.1547027206914038E-6</v>
      </c>
      <c r="AA108">
        <f t="shared" ref="AA108:AA110" si="138">(Y108-Z108)/(E$6*2)</f>
        <v>1.8400983627930856</v>
      </c>
      <c r="AB108">
        <f t="shared" ref="AB108:AB110" si="139">W108-X108/AA108</f>
        <v>0.76765326620127894</v>
      </c>
      <c r="AC108" t="str">
        <f t="shared" ref="AC108:AC110" si="140">IF(W109=W108,"STOP","")</f>
        <v/>
      </c>
      <c r="AE108" t="s">
        <v>113</v>
      </c>
      <c r="AF108" s="4">
        <f t="shared" si="99"/>
        <v>607.77935891100049</v>
      </c>
      <c r="AG108">
        <f t="shared" si="100"/>
        <v>9.0203167833798902E+263</v>
      </c>
      <c r="AH108">
        <f t="shared" si="101"/>
        <v>9.0203258037011618E+263</v>
      </c>
      <c r="AI108">
        <f t="shared" si="102"/>
        <v>9.0203077630676409E+263</v>
      </c>
      <c r="AJ108">
        <f t="shared" si="103"/>
        <v>9.020316760433813E+263</v>
      </c>
      <c r="AK108">
        <f t="shared" si="104"/>
        <v>606.77935890845663</v>
      </c>
      <c r="AL108" t="str">
        <f t="shared" si="105"/>
        <v/>
      </c>
    </row>
    <row r="109" spans="2:38" x14ac:dyDescent="0.25">
      <c r="M109" t="s">
        <v>86</v>
      </c>
      <c r="N109" s="4">
        <f t="shared" si="131"/>
        <v>6.9799686597191322</v>
      </c>
      <c r="O109">
        <f t="shared" si="132"/>
        <v>1071.9561817614001</v>
      </c>
      <c r="P109">
        <f t="shared" si="128"/>
        <v>1071.9572566265042</v>
      </c>
      <c r="Q109">
        <f t="shared" si="129"/>
        <v>1071.9551068973708</v>
      </c>
      <c r="R109">
        <f t="shared" si="130"/>
        <v>1074.8645667035817</v>
      </c>
      <c r="S109">
        <f t="shared" si="133"/>
        <v>5.9826744749746306</v>
      </c>
      <c r="T109" t="str">
        <f t="shared" si="134"/>
        <v/>
      </c>
      <c r="V109" t="s">
        <v>29</v>
      </c>
      <c r="W109" s="4">
        <f t="shared" si="135"/>
        <v>0.76765326620127894</v>
      </c>
      <c r="X109">
        <f t="shared" si="136"/>
        <v>0</v>
      </c>
      <c r="Y109">
        <f t="shared" si="137"/>
        <v>1.5254940033404552E-6</v>
      </c>
      <c r="Z109">
        <f t="shared" si="112"/>
        <v>-2.1547027224677606E-6</v>
      </c>
      <c r="AA109">
        <f t="shared" si="138"/>
        <v>1.8400983629041079</v>
      </c>
      <c r="AB109">
        <f t="shared" si="139"/>
        <v>0.76765326620127894</v>
      </c>
      <c r="AC109" t="str">
        <f t="shared" si="140"/>
        <v>STOP</v>
      </c>
      <c r="AE109" t="s">
        <v>114</v>
      </c>
      <c r="AF109" s="4">
        <f t="shared" si="99"/>
        <v>606.77935890845663</v>
      </c>
      <c r="AG109">
        <f t="shared" si="100"/>
        <v>3.3183890890176702E+263</v>
      </c>
      <c r="AH109">
        <f t="shared" si="101"/>
        <v>3.3183924074084097E+263</v>
      </c>
      <c r="AI109">
        <f t="shared" si="102"/>
        <v>3.3183857706302487E+263</v>
      </c>
      <c r="AJ109">
        <f t="shared" si="103"/>
        <v>3.3183890805017422E+263</v>
      </c>
      <c r="AK109">
        <f t="shared" si="104"/>
        <v>605.77935890589038</v>
      </c>
      <c r="AL109" t="str">
        <f t="shared" si="105"/>
        <v/>
      </c>
    </row>
    <row r="110" spans="2:38" x14ac:dyDescent="0.25">
      <c r="M110" t="s">
        <v>87</v>
      </c>
      <c r="N110" s="4">
        <f t="shared" si="131"/>
        <v>5.9826744749746306</v>
      </c>
      <c r="O110">
        <f t="shared" si="132"/>
        <v>393.59420096904341</v>
      </c>
      <c r="P110">
        <f t="shared" si="128"/>
        <v>393.59459744144129</v>
      </c>
      <c r="Q110">
        <f t="shared" si="129"/>
        <v>393.59380449704213</v>
      </c>
      <c r="R110">
        <f t="shared" si="130"/>
        <v>396.47219958283131</v>
      </c>
      <c r="S110">
        <f t="shared" si="133"/>
        <v>4.9899334924210397</v>
      </c>
      <c r="T110" t="str">
        <f t="shared" si="134"/>
        <v/>
      </c>
      <c r="V110" t="s">
        <v>30</v>
      </c>
      <c r="W110" s="4">
        <f t="shared" si="135"/>
        <v>0.76765326620127894</v>
      </c>
      <c r="X110">
        <f t="shared" si="136"/>
        <v>0</v>
      </c>
      <c r="Y110">
        <f t="shared" si="137"/>
        <v>1.5254940033404552E-6</v>
      </c>
      <c r="Z110">
        <f t="shared" si="112"/>
        <v>-2.1547027224677606E-6</v>
      </c>
      <c r="AA110">
        <f t="shared" si="138"/>
        <v>1.8400983629041079</v>
      </c>
      <c r="AB110">
        <f t="shared" si="139"/>
        <v>0.76765326620127894</v>
      </c>
      <c r="AC110" t="str">
        <f t="shared" si="140"/>
        <v/>
      </c>
      <c r="AE110" t="s">
        <v>115</v>
      </c>
      <c r="AF110" s="4">
        <f t="shared" si="99"/>
        <v>605.77935890589038</v>
      </c>
      <c r="AG110">
        <f t="shared" si="100"/>
        <v>1.2207671205244347E+263</v>
      </c>
      <c r="AH110">
        <f t="shared" si="101"/>
        <v>1.2207683412921626E+263</v>
      </c>
      <c r="AI110">
        <f t="shared" si="102"/>
        <v>1.2207658997579278E+263</v>
      </c>
      <c r="AJ110">
        <f t="shared" si="103"/>
        <v>1.2207671174107952E+263</v>
      </c>
      <c r="AK110">
        <f t="shared" si="104"/>
        <v>604.77935890333981</v>
      </c>
      <c r="AL110" t="str">
        <f t="shared" si="105"/>
        <v/>
      </c>
    </row>
    <row r="111" spans="2:38" x14ac:dyDescent="0.25">
      <c r="M111" t="s">
        <v>88</v>
      </c>
      <c r="N111" s="4">
        <f t="shared" si="131"/>
        <v>4.9899334924210397</v>
      </c>
      <c r="O111">
        <f t="shared" si="132"/>
        <v>144.05363859224246</v>
      </c>
      <c r="P111">
        <f t="shared" si="128"/>
        <v>144.05378548035651</v>
      </c>
      <c r="Q111">
        <f t="shared" si="129"/>
        <v>144.05349170427536</v>
      </c>
      <c r="R111">
        <f t="shared" si="130"/>
        <v>146.88804057527705</v>
      </c>
      <c r="S111">
        <f t="shared" si="133"/>
        <v>4.0092298352133717</v>
      </c>
      <c r="T111" t="str">
        <f t="shared" si="134"/>
        <v/>
      </c>
      <c r="W111" s="4"/>
      <c r="AE111" t="s">
        <v>116</v>
      </c>
      <c r="AF111" s="4">
        <f t="shared" si="99"/>
        <v>604.77935890333981</v>
      </c>
      <c r="AG111">
        <f t="shared" si="100"/>
        <v>4.4909512495355391E+262</v>
      </c>
      <c r="AH111">
        <f t="shared" si="101"/>
        <v>4.4909557404890225E+262</v>
      </c>
      <c r="AI111">
        <f t="shared" si="102"/>
        <v>4.490946758586546E+262</v>
      </c>
      <c r="AJ111">
        <f t="shared" si="103"/>
        <v>4.4909512382567829E+262</v>
      </c>
      <c r="AK111">
        <f t="shared" si="104"/>
        <v>603.77935890082836</v>
      </c>
      <c r="AL111" t="str">
        <f t="shared" si="105"/>
        <v/>
      </c>
    </row>
    <row r="112" spans="2:38" x14ac:dyDescent="0.25">
      <c r="M112" t="s">
        <v>89</v>
      </c>
      <c r="N112" s="4">
        <f t="shared" si="131"/>
        <v>4.0092298352133717</v>
      </c>
      <c r="O112">
        <f t="shared" si="132"/>
        <v>52.278055318198099</v>
      </c>
      <c r="P112">
        <f t="shared" si="128"/>
        <v>52.278110364071559</v>
      </c>
      <c r="Q112">
        <f t="shared" si="129"/>
        <v>52.278000272379771</v>
      </c>
      <c r="R112">
        <f t="shared" si="130"/>
        <v>55.04584589388628</v>
      </c>
      <c r="S112">
        <f t="shared" si="133"/>
        <v>3.0595113874493705</v>
      </c>
      <c r="T112" t="str">
        <f t="shared" si="134"/>
        <v/>
      </c>
      <c r="W112" s="4"/>
      <c r="AE112" t="s">
        <v>117</v>
      </c>
      <c r="AF112" s="4">
        <f t="shared" si="99"/>
        <v>603.77935890082836</v>
      </c>
      <c r="AG112">
        <f t="shared" si="100"/>
        <v>1.6521286318580766E+262</v>
      </c>
      <c r="AH112">
        <f t="shared" si="101"/>
        <v>1.6521302839875302E+262</v>
      </c>
      <c r="AI112">
        <f t="shared" si="102"/>
        <v>1.6521269797302747E+262</v>
      </c>
      <c r="AJ112">
        <f t="shared" si="103"/>
        <v>1.6521286277622239E+262</v>
      </c>
      <c r="AK112">
        <f t="shared" si="104"/>
        <v>602.77935889834919</v>
      </c>
      <c r="AL112" t="str">
        <f t="shared" si="105"/>
        <v/>
      </c>
    </row>
    <row r="113" spans="13:38" x14ac:dyDescent="0.25">
      <c r="M113" t="s">
        <v>90</v>
      </c>
      <c r="N113" s="4">
        <f t="shared" si="131"/>
        <v>3.0595113874493705</v>
      </c>
      <c r="O113">
        <f t="shared" si="132"/>
        <v>18.56224633541769</v>
      </c>
      <c r="P113">
        <f t="shared" si="128"/>
        <v>18.562267556047765</v>
      </c>
      <c r="Q113">
        <f t="shared" si="129"/>
        <v>18.562225114808992</v>
      </c>
      <c r="R113">
        <f t="shared" si="130"/>
        <v>21.220619386141948</v>
      </c>
      <c r="S113">
        <f t="shared" si="133"/>
        <v>2.1847845004698274</v>
      </c>
      <c r="T113" t="str">
        <f t="shared" si="134"/>
        <v/>
      </c>
      <c r="W113" s="4"/>
      <c r="AE113" t="s">
        <v>118</v>
      </c>
      <c r="AF113" s="4">
        <f t="shared" si="99"/>
        <v>602.77935889834919</v>
      </c>
      <c r="AG113">
        <f t="shared" si="100"/>
        <v>6.0778415632448915E+261</v>
      </c>
      <c r="AH113">
        <f t="shared" si="101"/>
        <v>6.0778476410894778E+261</v>
      </c>
      <c r="AI113">
        <f t="shared" si="102"/>
        <v>6.0778354854063821E+261</v>
      </c>
      <c r="AJ113">
        <f t="shared" si="103"/>
        <v>6.0778415478782624E+261</v>
      </c>
      <c r="AK113">
        <f t="shared" si="104"/>
        <v>601.77935889582091</v>
      </c>
      <c r="AL113" t="str">
        <f t="shared" si="105"/>
        <v/>
      </c>
    </row>
    <row r="114" spans="13:38" x14ac:dyDescent="0.25">
      <c r="M114" t="s">
        <v>91</v>
      </c>
      <c r="N114" s="4">
        <f t="shared" si="131"/>
        <v>2.1847845004698274</v>
      </c>
      <c r="O114">
        <f t="shared" si="132"/>
        <v>6.2471844031612465</v>
      </c>
      <c r="P114">
        <f t="shared" si="128"/>
        <v>6.2471931186869245</v>
      </c>
      <c r="Q114">
        <f t="shared" si="129"/>
        <v>6.2471756876445905</v>
      </c>
      <c r="R114">
        <f t="shared" si="130"/>
        <v>8.7155211669909249</v>
      </c>
      <c r="S114">
        <f t="shared" si="133"/>
        <v>1.4679961084202771</v>
      </c>
      <c r="T114" t="str">
        <f t="shared" si="134"/>
        <v/>
      </c>
      <c r="W114" s="4"/>
      <c r="AE114" t="s">
        <v>119</v>
      </c>
      <c r="AF114" s="4">
        <f t="shared" si="99"/>
        <v>601.77935889582091</v>
      </c>
      <c r="AG114">
        <f t="shared" si="100"/>
        <v>2.2359129521620787E+261</v>
      </c>
      <c r="AH114">
        <f t="shared" si="101"/>
        <v>2.235915188076143E+261</v>
      </c>
      <c r="AI114">
        <f t="shared" si="102"/>
        <v>2.2359107162502501E+261</v>
      </c>
      <c r="AJ114">
        <f t="shared" si="103"/>
        <v>2.2359129464748467E+261</v>
      </c>
      <c r="AK114">
        <f t="shared" si="104"/>
        <v>600.77935889327728</v>
      </c>
      <c r="AL114" t="str">
        <f t="shared" si="105"/>
        <v/>
      </c>
    </row>
    <row r="115" spans="13:38" x14ac:dyDescent="0.25">
      <c r="M115" t="s">
        <v>92</v>
      </c>
      <c r="N115" s="4">
        <f t="shared" si="131"/>
        <v>1.4679961084202771</v>
      </c>
      <c r="O115">
        <f t="shared" si="132"/>
        <v>1.8677294033337688</v>
      </c>
      <c r="P115">
        <f t="shared" si="128"/>
        <v>1.8677334269086106</v>
      </c>
      <c r="Q115">
        <f t="shared" si="129"/>
        <v>1.867725379763562</v>
      </c>
      <c r="R115">
        <f t="shared" si="130"/>
        <v>4.0235725242698805</v>
      </c>
      <c r="S115">
        <f t="shared" si="133"/>
        <v>1.00379933004291</v>
      </c>
      <c r="T115" t="str">
        <f t="shared" si="134"/>
        <v/>
      </c>
      <c r="W115" s="4"/>
      <c r="AE115" t="s">
        <v>120</v>
      </c>
      <c r="AF115" s="4">
        <f t="shared" si="99"/>
        <v>600.77935889327728</v>
      </c>
      <c r="AG115">
        <f t="shared" si="100"/>
        <v>8.225464052571222E+260</v>
      </c>
      <c r="AH115">
        <f t="shared" si="101"/>
        <v>8.2254722780393658E+260</v>
      </c>
      <c r="AI115">
        <f t="shared" si="102"/>
        <v>8.2254558271113024E+260</v>
      </c>
      <c r="AJ115">
        <f t="shared" si="103"/>
        <v>8.2254640316903973E+260</v>
      </c>
      <c r="AK115">
        <f t="shared" si="104"/>
        <v>599.77935889073876</v>
      </c>
      <c r="AL115" t="str">
        <f t="shared" si="105"/>
        <v/>
      </c>
    </row>
    <row r="116" spans="13:38" x14ac:dyDescent="0.25">
      <c r="M116" t="s">
        <v>93</v>
      </c>
      <c r="N116" s="4">
        <f t="shared" si="131"/>
        <v>1.00379933004291</v>
      </c>
      <c r="O116">
        <f t="shared" si="132"/>
        <v>0.44133489795824188</v>
      </c>
      <c r="P116">
        <f t="shared" si="128"/>
        <v>0.44133712848503337</v>
      </c>
      <c r="Q116">
        <f t="shared" si="129"/>
        <v>0.4413326674346767</v>
      </c>
      <c r="R116">
        <f t="shared" si="130"/>
        <v>2.2305251783372171</v>
      </c>
      <c r="S116">
        <f t="shared" si="133"/>
        <v>0.80593790160243728</v>
      </c>
      <c r="T116" t="str">
        <f t="shared" si="134"/>
        <v/>
      </c>
      <c r="W116" s="4"/>
      <c r="AE116" t="s">
        <v>121</v>
      </c>
      <c r="AF116" s="4">
        <f t="shared" si="99"/>
        <v>599.77935889073876</v>
      </c>
      <c r="AG116">
        <f t="shared" si="100"/>
        <v>3.0259791113541996E+260</v>
      </c>
      <c r="AH116">
        <f t="shared" si="101"/>
        <v>3.0259821373348166E+260</v>
      </c>
      <c r="AI116">
        <f t="shared" si="102"/>
        <v>3.0259760853766088E+260</v>
      </c>
      <c r="AJ116">
        <f t="shared" si="103"/>
        <v>3.0259791039405506E+260</v>
      </c>
      <c r="AK116">
        <f t="shared" si="104"/>
        <v>598.77935888828881</v>
      </c>
      <c r="AL116" t="str">
        <f t="shared" si="105"/>
        <v/>
      </c>
    </row>
    <row r="117" spans="13:38" x14ac:dyDescent="0.25">
      <c r="M117" t="s">
        <v>94</v>
      </c>
      <c r="N117" s="4">
        <f t="shared" si="131"/>
        <v>0.80593790160243728</v>
      </c>
      <c r="O117">
        <f t="shared" si="132"/>
        <v>6.0444142997328143E-2</v>
      </c>
      <c r="P117">
        <f t="shared" si="128"/>
        <v>6.0445775562905979E-2</v>
      </c>
      <c r="Q117">
        <f t="shared" si="129"/>
        <v>6.044251043458182E-2</v>
      </c>
      <c r="R117">
        <f t="shared" si="130"/>
        <v>1.632564162079575</v>
      </c>
      <c r="S117">
        <f t="shared" si="133"/>
        <v>0.76891384802996765</v>
      </c>
      <c r="T117" t="str">
        <f t="shared" si="134"/>
        <v/>
      </c>
      <c r="W117" s="4"/>
      <c r="AE117" t="s">
        <v>122</v>
      </c>
      <c r="AF117" s="4">
        <f t="shared" si="99"/>
        <v>598.77935888828881</v>
      </c>
      <c r="AG117">
        <f t="shared" si="100"/>
        <v>1.1131955017541658E+260</v>
      </c>
      <c r="AH117">
        <f t="shared" si="101"/>
        <v>1.1131966149502213E+260</v>
      </c>
      <c r="AI117">
        <f t="shared" si="102"/>
        <v>1.1131943885592234E+260</v>
      </c>
      <c r="AJ117">
        <f t="shared" si="103"/>
        <v>1.1131954989218128E+260</v>
      </c>
      <c r="AK117">
        <f t="shared" si="104"/>
        <v>597.7793588857445</v>
      </c>
      <c r="AL117" t="str">
        <f t="shared" si="105"/>
        <v/>
      </c>
    </row>
    <row r="118" spans="13:38" x14ac:dyDescent="0.25">
      <c r="M118" t="s">
        <v>95</v>
      </c>
      <c r="N118" s="4">
        <f t="shared" si="131"/>
        <v>0.76891384802996765</v>
      </c>
      <c r="O118">
        <f t="shared" si="132"/>
        <v>1.9252038022303797E-3</v>
      </c>
      <c r="P118">
        <f t="shared" si="128"/>
        <v>1.9267327800536194E-3</v>
      </c>
      <c r="Q118">
        <f t="shared" si="129"/>
        <v>1.9236748271724835E-3</v>
      </c>
      <c r="R118">
        <f t="shared" si="130"/>
        <v>1.5289764405679307</v>
      </c>
      <c r="S118">
        <f t="shared" si="133"/>
        <v>0.76765470253161372</v>
      </c>
      <c r="T118" t="str">
        <f t="shared" si="134"/>
        <v/>
      </c>
      <c r="AE118" t="s">
        <v>123</v>
      </c>
      <c r="AF118" s="4">
        <f t="shared" si="99"/>
        <v>597.7793588857445</v>
      </c>
      <c r="AG118">
        <f t="shared" si="100"/>
        <v>4.09521738057935E+259</v>
      </c>
      <c r="AH118">
        <f t="shared" si="101"/>
        <v>4.095221475798768E+259</v>
      </c>
      <c r="AI118">
        <f t="shared" si="102"/>
        <v>4.0952132853640275E+259</v>
      </c>
      <c r="AJ118">
        <f t="shared" si="103"/>
        <v>4.0952173702460196E+259</v>
      </c>
      <c r="AK118">
        <f t="shared" si="104"/>
        <v>596.77935888322122</v>
      </c>
      <c r="AL118" t="str">
        <f t="shared" si="105"/>
        <v/>
      </c>
    </row>
    <row r="119" spans="13:38" x14ac:dyDescent="0.25">
      <c r="M119" t="s">
        <v>96</v>
      </c>
      <c r="N119" s="4">
        <f t="shared" si="131"/>
        <v>0.76765470253161372</v>
      </c>
      <c r="O119">
        <f t="shared" si="132"/>
        <v>2.1911141778740983E-6</v>
      </c>
      <c r="P119">
        <f t="shared" si="128"/>
        <v>3.7166121491516435E-6</v>
      </c>
      <c r="Q119">
        <f t="shared" si="129"/>
        <v>6.6561896927552766E-7</v>
      </c>
      <c r="R119">
        <f t="shared" si="130"/>
        <v>1.5254965899380579</v>
      </c>
      <c r="S119">
        <f t="shared" si="133"/>
        <v>0.76765326620314711</v>
      </c>
      <c r="T119" t="str">
        <f t="shared" si="134"/>
        <v/>
      </c>
      <c r="AE119" t="s">
        <v>124</v>
      </c>
      <c r="AF119" s="4">
        <f t="shared" si="99"/>
        <v>596.77935888322122</v>
      </c>
      <c r="AG119">
        <f t="shared" si="100"/>
        <v>1.5065462776416721E+259</v>
      </c>
      <c r="AH119">
        <f t="shared" si="101"/>
        <v>1.506547784188699E+259</v>
      </c>
      <c r="AI119">
        <f t="shared" si="102"/>
        <v>1.5065447710961515E+259</v>
      </c>
      <c r="AJ119">
        <f t="shared" si="103"/>
        <v>1.506546273786534E+259</v>
      </c>
      <c r="AK119">
        <f t="shared" si="104"/>
        <v>595.77935888066224</v>
      </c>
      <c r="AL119" t="str">
        <f t="shared" si="105"/>
        <v/>
      </c>
    </row>
    <row r="120" spans="13:38" x14ac:dyDescent="0.25">
      <c r="M120" t="s">
        <v>97</v>
      </c>
      <c r="N120" s="4">
        <f t="shared" si="131"/>
        <v>0.76765326620314711</v>
      </c>
      <c r="O120">
        <f t="shared" si="132"/>
        <v>2.8497204596078518E-12</v>
      </c>
      <c r="P120">
        <f t="shared" si="128"/>
        <v>1.5254968532829594E-6</v>
      </c>
      <c r="Q120">
        <f t="shared" si="129"/>
        <v>-1.5254883907189765E-6</v>
      </c>
      <c r="R120">
        <f t="shared" si="130"/>
        <v>1.5254926220009679</v>
      </c>
      <c r="S120">
        <f t="shared" si="133"/>
        <v>0.76765326620127905</v>
      </c>
      <c r="T120" t="str">
        <f t="shared" si="134"/>
        <v/>
      </c>
      <c r="AE120" t="s">
        <v>125</v>
      </c>
      <c r="AF120" s="4">
        <f t="shared" si="99"/>
        <v>595.77935888066224</v>
      </c>
      <c r="AG120">
        <f t="shared" si="100"/>
        <v>5.5422740129947971E+258</v>
      </c>
      <c r="AH120">
        <f t="shared" si="101"/>
        <v>5.5422795552715669E+258</v>
      </c>
      <c r="AI120">
        <f t="shared" si="102"/>
        <v>5.5422684707235691E+258</v>
      </c>
      <c r="AJ120">
        <f t="shared" si="103"/>
        <v>5.5422739989220527E+258</v>
      </c>
      <c r="AK120">
        <f t="shared" si="104"/>
        <v>594.77935887812305</v>
      </c>
      <c r="AL120" t="str">
        <f t="shared" si="105"/>
        <v/>
      </c>
    </row>
    <row r="121" spans="13:38" x14ac:dyDescent="0.25">
      <c r="M121" t="s">
        <v>98</v>
      </c>
      <c r="N121" s="4">
        <f t="shared" si="131"/>
        <v>0.76765326620127905</v>
      </c>
      <c r="O121">
        <f t="shared" si="132"/>
        <v>0</v>
      </c>
      <c r="P121">
        <f t="shared" si="128"/>
        <v>1.5254940033404552E-6</v>
      </c>
      <c r="Q121">
        <f t="shared" si="129"/>
        <v>-1.5254912406614807E-6</v>
      </c>
      <c r="R121">
        <f t="shared" si="130"/>
        <v>1.5254926220009679</v>
      </c>
      <c r="S121">
        <f t="shared" si="133"/>
        <v>0.76765326620127905</v>
      </c>
      <c r="T121" t="str">
        <f t="shared" si="134"/>
        <v>STOP</v>
      </c>
      <c r="AE121" t="s">
        <v>126</v>
      </c>
      <c r="AF121" s="4">
        <f t="shared" si="99"/>
        <v>594.77935887812305</v>
      </c>
      <c r="AG121">
        <f t="shared" si="100"/>
        <v>2.0388886615423959E+258</v>
      </c>
      <c r="AH121">
        <f t="shared" si="101"/>
        <v>2.0388907004320717E+258</v>
      </c>
      <c r="AI121">
        <f t="shared" si="102"/>
        <v>2.0388866226547591E+258</v>
      </c>
      <c r="AJ121">
        <f t="shared" si="103"/>
        <v>2.0388886563126331E+258</v>
      </c>
      <c r="AK121">
        <f t="shared" si="104"/>
        <v>593.77935887555805</v>
      </c>
      <c r="AL121" t="str">
        <f t="shared" si="105"/>
        <v/>
      </c>
    </row>
    <row r="122" spans="13:38" x14ac:dyDescent="0.25">
      <c r="M122" t="s">
        <v>99</v>
      </c>
      <c r="N122" s="4">
        <f t="shared" si="131"/>
        <v>0.76765326620127905</v>
      </c>
      <c r="O122">
        <f t="shared" si="132"/>
        <v>0</v>
      </c>
      <c r="P122">
        <f t="shared" si="128"/>
        <v>1.5254940033404552E-6</v>
      </c>
      <c r="Q122">
        <f t="shared" si="129"/>
        <v>-1.5254912406614807E-6</v>
      </c>
      <c r="R122">
        <f t="shared" si="130"/>
        <v>1.5254926220009679</v>
      </c>
      <c r="S122">
        <f t="shared" si="133"/>
        <v>0.76765326620127905</v>
      </c>
      <c r="T122" t="str">
        <f t="shared" si="134"/>
        <v/>
      </c>
      <c r="AE122" t="s">
        <v>127</v>
      </c>
      <c r="AF122" s="4">
        <f t="shared" si="99"/>
        <v>593.77935887555805</v>
      </c>
      <c r="AG122">
        <f t="shared" si="100"/>
        <v>7.5006521949508757E+257</v>
      </c>
      <c r="AH122">
        <f t="shared" si="101"/>
        <v>7.5006596956068022E+257</v>
      </c>
      <c r="AI122">
        <f t="shared" si="102"/>
        <v>7.5006446943024493E+257</v>
      </c>
      <c r="AJ122">
        <f t="shared" si="103"/>
        <v>7.5006521764757419E+257</v>
      </c>
      <c r="AK122">
        <f t="shared" si="104"/>
        <v>592.77935887309491</v>
      </c>
      <c r="AL122" t="str">
        <f t="shared" si="105"/>
        <v/>
      </c>
    </row>
    <row r="123" spans="13:38" x14ac:dyDescent="0.25">
      <c r="N123" s="4"/>
      <c r="AE123" t="s">
        <v>128</v>
      </c>
      <c r="AF123" s="4">
        <f t="shared" si="99"/>
        <v>592.77935887309491</v>
      </c>
      <c r="AG123">
        <f t="shared" si="100"/>
        <v>2.759335731103253E+257</v>
      </c>
      <c r="AH123">
        <f t="shared" si="101"/>
        <v>2.7593384904403564E+257</v>
      </c>
      <c r="AI123">
        <f t="shared" si="102"/>
        <v>2.7593329717689081E+257</v>
      </c>
      <c r="AJ123">
        <f t="shared" si="103"/>
        <v>2.7593357241659041E+257</v>
      </c>
      <c r="AK123">
        <f t="shared" si="104"/>
        <v>591.77935887058072</v>
      </c>
      <c r="AL123" t="str">
        <f t="shared" si="105"/>
        <v/>
      </c>
    </row>
    <row r="124" spans="13:38" x14ac:dyDescent="0.25">
      <c r="N124" s="4"/>
      <c r="AE124" t="s">
        <v>129</v>
      </c>
      <c r="AF124" s="4">
        <f t="shared" si="99"/>
        <v>591.77935887058072</v>
      </c>
      <c r="AG124">
        <f t="shared" si="100"/>
        <v>1.015102884210502E+257</v>
      </c>
      <c r="AH124">
        <f t="shared" si="101"/>
        <v>1.0151038993138912E+257</v>
      </c>
      <c r="AI124">
        <f t="shared" si="102"/>
        <v>1.0151018691081279E+257</v>
      </c>
      <c r="AJ124">
        <f t="shared" si="103"/>
        <v>1.015102881658816E+257</v>
      </c>
      <c r="AK124">
        <f t="shared" si="104"/>
        <v>590.77935886806699</v>
      </c>
      <c r="AL124" t="str">
        <f t="shared" si="105"/>
        <v/>
      </c>
    </row>
    <row r="125" spans="13:38" x14ac:dyDescent="0.25">
      <c r="N125" s="4"/>
      <c r="AE125" t="s">
        <v>130</v>
      </c>
      <c r="AF125" s="4">
        <f t="shared" si="99"/>
        <v>590.77935886806699</v>
      </c>
      <c r="AG125">
        <f t="shared" si="100"/>
        <v>3.7343548083616293E+256</v>
      </c>
      <c r="AH125">
        <f t="shared" si="101"/>
        <v>3.7343585427182953E+256</v>
      </c>
      <c r="AI125">
        <f t="shared" si="102"/>
        <v>3.7343510740086974E+256</v>
      </c>
      <c r="AJ125">
        <f t="shared" si="103"/>
        <v>3.7343547989892249E+256</v>
      </c>
      <c r="AK125">
        <f t="shared" si="104"/>
        <v>589.77935886555724</v>
      </c>
      <c r="AL125" t="str">
        <f t="shared" si="105"/>
        <v/>
      </c>
    </row>
    <row r="126" spans="13:38" x14ac:dyDescent="0.25">
      <c r="AE126" t="s">
        <v>131</v>
      </c>
      <c r="AF126" s="4">
        <f t="shared" si="99"/>
        <v>589.77935886555724</v>
      </c>
      <c r="AG126">
        <f t="shared" si="100"/>
        <v>1.3737923565880886E+256</v>
      </c>
      <c r="AH126">
        <f t="shared" si="101"/>
        <v>1.3737937303811286E+256</v>
      </c>
      <c r="AI126">
        <f t="shared" si="102"/>
        <v>1.3737909827964224E+256</v>
      </c>
      <c r="AJ126">
        <f t="shared" si="103"/>
        <v>1.3737923530844958E+256</v>
      </c>
      <c r="AK126">
        <f t="shared" si="104"/>
        <v>588.77935886300691</v>
      </c>
      <c r="AL126" t="str">
        <f t="shared" si="105"/>
        <v/>
      </c>
    </row>
    <row r="127" spans="13:38" x14ac:dyDescent="0.25">
      <c r="AE127" t="s">
        <v>132</v>
      </c>
      <c r="AF127" s="4">
        <f t="shared" si="99"/>
        <v>588.77935886300691</v>
      </c>
      <c r="AG127">
        <f t="shared" si="100"/>
        <v>5.0538996313831025E+255</v>
      </c>
      <c r="AH127">
        <f t="shared" si="101"/>
        <v>5.0539046852852477E+255</v>
      </c>
      <c r="AI127">
        <f t="shared" si="102"/>
        <v>5.0538945774860107E+255</v>
      </c>
      <c r="AJ127">
        <f t="shared" si="103"/>
        <v>5.0538996185081385E+255</v>
      </c>
      <c r="AK127">
        <f t="shared" si="104"/>
        <v>587.77935886045941</v>
      </c>
      <c r="AL127" t="str">
        <f t="shared" si="105"/>
        <v/>
      </c>
    </row>
    <row r="128" spans="13:38" x14ac:dyDescent="0.25">
      <c r="AE128" t="s">
        <v>133</v>
      </c>
      <c r="AF128" s="4">
        <f t="shared" si="99"/>
        <v>587.77935886045941</v>
      </c>
      <c r="AG128">
        <f t="shared" si="100"/>
        <v>1.8592257673934061E+255</v>
      </c>
      <c r="AH128">
        <f t="shared" si="101"/>
        <v>1.8592276266200985E+255</v>
      </c>
      <c r="AI128">
        <f t="shared" si="102"/>
        <v>1.8592239081685733E+255</v>
      </c>
      <c r="AJ128">
        <f t="shared" si="103"/>
        <v>1.859225762610739E+255</v>
      </c>
      <c r="AK128">
        <f t="shared" si="104"/>
        <v>586.77935885788702</v>
      </c>
      <c r="AL128" t="str">
        <f t="shared" si="105"/>
        <v/>
      </c>
    </row>
    <row r="129" spans="31:38" x14ac:dyDescent="0.25">
      <c r="AE129" t="s">
        <v>134</v>
      </c>
      <c r="AF129" s="4">
        <f t="shared" si="99"/>
        <v>586.77935885788702</v>
      </c>
      <c r="AG129">
        <f t="shared" si="100"/>
        <v>6.8397093456079087E+254</v>
      </c>
      <c r="AH129">
        <f t="shared" si="101"/>
        <v>6.8397161853206574E+254</v>
      </c>
      <c r="AI129">
        <f t="shared" si="102"/>
        <v>6.8397025059020009E+254</v>
      </c>
      <c r="AJ129">
        <f t="shared" si="103"/>
        <v>6.8397093282174926E+254</v>
      </c>
      <c r="AK129">
        <f t="shared" si="104"/>
        <v>585.77935885534441</v>
      </c>
      <c r="AL129" t="str">
        <f t="shared" si="105"/>
        <v/>
      </c>
    </row>
    <row r="130" spans="31:38" x14ac:dyDescent="0.25">
      <c r="AE130" t="s">
        <v>135</v>
      </c>
      <c r="AF130" s="4">
        <f t="shared" si="99"/>
        <v>585.77935885534441</v>
      </c>
      <c r="AG130">
        <f t="shared" si="100"/>
        <v>2.5161884454396526E+254</v>
      </c>
      <c r="AH130">
        <f t="shared" si="101"/>
        <v>2.5161909616293497E+254</v>
      </c>
      <c r="AI130">
        <f t="shared" si="102"/>
        <v>2.5161859292524717E+254</v>
      </c>
      <c r="AJ130">
        <f t="shared" si="103"/>
        <v>2.5161884390179562E+254</v>
      </c>
      <c r="AK130">
        <f t="shared" si="104"/>
        <v>584.77935885279226</v>
      </c>
      <c r="AL130" t="str">
        <f t="shared" si="105"/>
        <v/>
      </c>
    </row>
    <row r="131" spans="31:38" x14ac:dyDescent="0.25">
      <c r="AE131" t="s">
        <v>136</v>
      </c>
      <c r="AF131" s="4">
        <f t="shared" si="99"/>
        <v>584.77935885279226</v>
      </c>
      <c r="AG131">
        <f t="shared" si="100"/>
        <v>9.2565399682796635E+253</v>
      </c>
      <c r="AH131">
        <f t="shared" si="101"/>
        <v>9.2565492248242368E+253</v>
      </c>
      <c r="AI131">
        <f t="shared" si="102"/>
        <v>9.2565307117443473E+253</v>
      </c>
      <c r="AJ131">
        <f t="shared" si="103"/>
        <v>9.2565399447842804E+253</v>
      </c>
      <c r="AK131">
        <f t="shared" si="104"/>
        <v>583.77935885025397</v>
      </c>
      <c r="AL131" t="str">
        <f t="shared" si="105"/>
        <v/>
      </c>
    </row>
    <row r="132" spans="31:38" x14ac:dyDescent="0.25">
      <c r="AE132" t="s">
        <v>137</v>
      </c>
      <c r="AF132" s="4">
        <f t="shared" si="99"/>
        <v>583.77935885025397</v>
      </c>
      <c r="AG132">
        <f t="shared" si="100"/>
        <v>3.4052907420682413E+253</v>
      </c>
      <c r="AH132">
        <f t="shared" si="101"/>
        <v>3.4052941473606774E+253</v>
      </c>
      <c r="AI132">
        <f t="shared" si="102"/>
        <v>3.4052873367792108E+253</v>
      </c>
      <c r="AJ132">
        <f t="shared" si="103"/>
        <v>3.4052907332784028E+253</v>
      </c>
      <c r="AK132">
        <f t="shared" si="104"/>
        <v>582.77935884767271</v>
      </c>
      <c r="AL132" t="str">
        <f t="shared" si="105"/>
        <v/>
      </c>
    </row>
    <row r="133" spans="31:38" x14ac:dyDescent="0.25">
      <c r="AE133" t="s">
        <v>138</v>
      </c>
      <c r="AF133" s="4">
        <f t="shared" si="99"/>
        <v>582.77935884767271</v>
      </c>
      <c r="AG133">
        <f t="shared" si="100"/>
        <v>1.2527364519847126E+253</v>
      </c>
      <c r="AH133">
        <f t="shared" si="101"/>
        <v>1.2527377047217878E+253</v>
      </c>
      <c r="AI133">
        <f t="shared" si="102"/>
        <v>1.2527351992488903E+253</v>
      </c>
      <c r="AJ133">
        <f t="shared" si="103"/>
        <v>1.2527364487490274E+253</v>
      </c>
      <c r="AK133">
        <f t="shared" si="104"/>
        <v>581.77935884508986</v>
      </c>
      <c r="AL133" t="str">
        <f t="shared" si="105"/>
        <v/>
      </c>
    </row>
    <row r="134" spans="31:38" x14ac:dyDescent="0.25">
      <c r="AE134" t="s">
        <v>139</v>
      </c>
      <c r="AF134" s="4">
        <f t="shared" si="99"/>
        <v>581.77935884508986</v>
      </c>
      <c r="AG134">
        <f t="shared" si="100"/>
        <v>4.6085598470090901E+252</v>
      </c>
      <c r="AH134">
        <f t="shared" si="101"/>
        <v>4.6085644555712303E+252</v>
      </c>
      <c r="AI134">
        <f t="shared" si="102"/>
        <v>4.6085552384515594E+252</v>
      </c>
      <c r="AJ134">
        <f t="shared" si="103"/>
        <v>4.6085598354228721E+252</v>
      </c>
      <c r="AK134">
        <f t="shared" si="104"/>
        <v>580.77935884257579</v>
      </c>
      <c r="AL134" t="str">
        <f t="shared" si="105"/>
        <v/>
      </c>
    </row>
    <row r="135" spans="31:38" x14ac:dyDescent="0.25">
      <c r="AE135" t="s">
        <v>140</v>
      </c>
      <c r="AF135" s="4">
        <f t="shared" si="99"/>
        <v>580.77935884257579</v>
      </c>
      <c r="AG135">
        <f t="shared" si="100"/>
        <v>1.6953944168605103E+252</v>
      </c>
      <c r="AH135">
        <f t="shared" si="101"/>
        <v>1.6953961122557706E+252</v>
      </c>
      <c r="AI135">
        <f t="shared" si="102"/>
        <v>1.6953927214669456E+252</v>
      </c>
      <c r="AJ135">
        <f t="shared" si="103"/>
        <v>1.695394412501107E+252</v>
      </c>
      <c r="AK135">
        <f t="shared" si="104"/>
        <v>579.77935884000442</v>
      </c>
      <c r="AL135" t="str">
        <f t="shared" si="105"/>
        <v/>
      </c>
    </row>
    <row r="136" spans="31:38" x14ac:dyDescent="0.25">
      <c r="AE136" t="s">
        <v>141</v>
      </c>
      <c r="AF136" s="4">
        <f t="shared" si="99"/>
        <v>579.77935884000442</v>
      </c>
      <c r="AG136">
        <f t="shared" si="100"/>
        <v>6.2370074903606323E+251</v>
      </c>
      <c r="AH136">
        <f t="shared" si="101"/>
        <v>6.2370137273712253E+251</v>
      </c>
      <c r="AI136">
        <f t="shared" si="102"/>
        <v>6.2370012533562753E+251</v>
      </c>
      <c r="AJ136">
        <f t="shared" si="103"/>
        <v>6.2370074749960918E+251</v>
      </c>
      <c r="AK136">
        <f t="shared" si="104"/>
        <v>578.77935883754094</v>
      </c>
      <c r="AL136" t="str">
        <f t="shared" si="105"/>
        <v/>
      </c>
    </row>
    <row r="137" spans="31:38" x14ac:dyDescent="0.25">
      <c r="AE137" t="s">
        <v>142</v>
      </c>
      <c r="AF137" s="4">
        <f t="shared" si="99"/>
        <v>578.77935883754094</v>
      </c>
      <c r="AG137">
        <f t="shared" si="100"/>
        <v>2.2944668244835958E+251</v>
      </c>
      <c r="AH137">
        <f t="shared" si="101"/>
        <v>2.2944691189515617E+251</v>
      </c>
      <c r="AI137">
        <f t="shared" si="102"/>
        <v>2.2944645300179242E+251</v>
      </c>
      <c r="AJ137">
        <f t="shared" si="103"/>
        <v>2.2944668187287288E+251</v>
      </c>
      <c r="AK137">
        <f t="shared" si="104"/>
        <v>577.77935883503278</v>
      </c>
      <c r="AL137" t="str">
        <f t="shared" si="105"/>
        <v/>
      </c>
    </row>
    <row r="138" spans="31:38" x14ac:dyDescent="0.25">
      <c r="AE138" t="s">
        <v>143</v>
      </c>
      <c r="AF138" s="4">
        <f t="shared" si="99"/>
        <v>577.77935883503278</v>
      </c>
      <c r="AG138">
        <f t="shared" si="100"/>
        <v>8.4408717106033422E+250</v>
      </c>
      <c r="AH138">
        <f t="shared" si="101"/>
        <v>8.4408801514792513E+250</v>
      </c>
      <c r="AI138">
        <f t="shared" si="102"/>
        <v>8.440863269735873E+250</v>
      </c>
      <c r="AJ138">
        <f t="shared" si="103"/>
        <v>8.4408716891723875E+250</v>
      </c>
      <c r="AK138">
        <f t="shared" si="104"/>
        <v>576.77935883249381</v>
      </c>
      <c r="AL138" t="str">
        <f t="shared" si="105"/>
        <v/>
      </c>
    </row>
    <row r="139" spans="31:38" x14ac:dyDescent="0.25">
      <c r="AE139" t="s">
        <v>144</v>
      </c>
      <c r="AF139" s="4">
        <f t="shared" si="99"/>
        <v>576.77935883249381</v>
      </c>
      <c r="AG139">
        <f t="shared" si="100"/>
        <v>3.1052231600125314E+250</v>
      </c>
      <c r="AH139">
        <f t="shared" si="101"/>
        <v>3.1052262652372357E+250</v>
      </c>
      <c r="AI139">
        <f t="shared" si="102"/>
        <v>3.1052200547909315E+250</v>
      </c>
      <c r="AJ139">
        <f t="shared" si="103"/>
        <v>3.1052231520948073E+250</v>
      </c>
      <c r="AK139">
        <f t="shared" si="104"/>
        <v>575.77935882994404</v>
      </c>
      <c r="AL139" t="str">
        <f t="shared" si="105"/>
        <v/>
      </c>
    </row>
    <row r="140" spans="31:38" x14ac:dyDescent="0.25">
      <c r="AE140" t="s">
        <v>145</v>
      </c>
      <c r="AF140" s="4">
        <f t="shared" si="99"/>
        <v>575.77935882994404</v>
      </c>
      <c r="AG140">
        <f t="shared" si="100"/>
        <v>1.142347757905308E+250</v>
      </c>
      <c r="AH140">
        <f t="shared" si="101"/>
        <v>1.1423489002536341E+250</v>
      </c>
      <c r="AI140">
        <f t="shared" si="102"/>
        <v>1.1423466155581241E+250</v>
      </c>
      <c r="AJ140">
        <f t="shared" si="103"/>
        <v>1.1423477550157895E+250</v>
      </c>
      <c r="AK140">
        <f t="shared" si="104"/>
        <v>574.77935882741463</v>
      </c>
      <c r="AL140" t="str">
        <f t="shared" si="105"/>
        <v/>
      </c>
    </row>
    <row r="141" spans="31:38" x14ac:dyDescent="0.25">
      <c r="AE141" t="s">
        <v>146</v>
      </c>
      <c r="AF141" s="4">
        <f t="shared" si="99"/>
        <v>574.77935882741463</v>
      </c>
      <c r="AG141">
        <f t="shared" si="100"/>
        <v>4.2024625373867616E+249</v>
      </c>
      <c r="AH141">
        <f t="shared" si="101"/>
        <v>4.2024667398513897E+249</v>
      </c>
      <c r="AI141">
        <f t="shared" si="102"/>
        <v>4.2024583349263362E+249</v>
      </c>
      <c r="AJ141">
        <f t="shared" si="103"/>
        <v>4.202462526747854E+249</v>
      </c>
      <c r="AK141">
        <f t="shared" si="104"/>
        <v>573.77935882488305</v>
      </c>
      <c r="AL141" t="str">
        <f t="shared" si="105"/>
        <v/>
      </c>
    </row>
    <row r="142" spans="31:38" x14ac:dyDescent="0.25">
      <c r="AE142" t="s">
        <v>147</v>
      </c>
      <c r="AF142" s="4">
        <f t="shared" si="99"/>
        <v>573.77935882488305</v>
      </c>
      <c r="AG142">
        <f t="shared" si="100"/>
        <v>1.5459995658839442E+249</v>
      </c>
      <c r="AH142">
        <f t="shared" si="101"/>
        <v>1.5460011118842792E+249</v>
      </c>
      <c r="AI142">
        <f t="shared" si="102"/>
        <v>1.5459980198851551E+249</v>
      </c>
      <c r="AJ142">
        <f t="shared" si="103"/>
        <v>1.5459995620599261E+249</v>
      </c>
      <c r="AK142">
        <f t="shared" si="104"/>
        <v>572.77935882240956</v>
      </c>
      <c r="AL142" t="str">
        <f t="shared" si="105"/>
        <v/>
      </c>
    </row>
    <row r="143" spans="31:38" x14ac:dyDescent="0.25">
      <c r="AE143" t="s">
        <v>148</v>
      </c>
      <c r="AF143" s="4">
        <f t="shared" si="99"/>
        <v>572.77935882240956</v>
      </c>
      <c r="AG143">
        <f t="shared" si="100"/>
        <v>5.6874145494190459E+248</v>
      </c>
      <c r="AH143">
        <f t="shared" si="101"/>
        <v>5.6874202368364248E+248</v>
      </c>
      <c r="AI143">
        <f t="shared" si="102"/>
        <v>5.6874088620073543E+248</v>
      </c>
      <c r="AJ143">
        <f t="shared" si="103"/>
        <v>5.6874145352632912E+248</v>
      </c>
      <c r="AK143">
        <f t="shared" si="104"/>
        <v>571.77935881992062</v>
      </c>
      <c r="AL143" t="str">
        <f t="shared" si="105"/>
        <v/>
      </c>
    </row>
    <row r="144" spans="31:38" x14ac:dyDescent="0.25">
      <c r="AE144" t="s">
        <v>149</v>
      </c>
      <c r="AF144" s="4">
        <f t="shared" ref="AF144:AF207" si="141">AK143</f>
        <v>571.77935881992062</v>
      </c>
      <c r="AG144">
        <f t="shared" ref="AG144:AG207" si="142">EXP(AF144)-ATAN(AF144)-1.5</f>
        <v>2.0922828809430301E+248</v>
      </c>
      <c r="AH144">
        <f t="shared" ref="AH144:AH207" si="143">EXP(AF144+E$6)-ATAN(AF144+E$6)-1.5</f>
        <v>2.0922849732269519E+248</v>
      </c>
      <c r="AI144">
        <f t="shared" ref="AI144:AI207" si="144">EXP(AF144-E$6)-ATAN(AF144-E$6)-1.5</f>
        <v>2.0922807886612005E+248</v>
      </c>
      <c r="AJ144">
        <f t="shared" ref="AJ144:AJ207" si="145">(AH144-AI144)/(E$6*2)</f>
        <v>2.0922828756900318E+248</v>
      </c>
      <c r="AK144">
        <f t="shared" ref="AK144:AK207" si="146">AF144-AG144/AJ144</f>
        <v>570.77935881740996</v>
      </c>
      <c r="AL144" t="str">
        <f t="shared" ref="AL144:AL207" si="147">IF(AF145=AF144,"STOP","")</f>
        <v/>
      </c>
    </row>
    <row r="145" spans="31:38" x14ac:dyDescent="0.25">
      <c r="AE145" t="s">
        <v>150</v>
      </c>
      <c r="AF145" s="4">
        <f t="shared" si="141"/>
        <v>570.77935881740996</v>
      </c>
      <c r="AG145">
        <f t="shared" si="142"/>
        <v>7.6970785508142245E+247</v>
      </c>
      <c r="AH145">
        <f t="shared" si="143"/>
        <v>7.6970862478966049E+247</v>
      </c>
      <c r="AI145">
        <f t="shared" si="144"/>
        <v>7.6970708537395421E+247</v>
      </c>
      <c r="AJ145">
        <f t="shared" si="145"/>
        <v>7.697078531396954E+247</v>
      </c>
      <c r="AK145">
        <f t="shared" si="146"/>
        <v>569.77935881488725</v>
      </c>
      <c r="AL145" t="str">
        <f t="shared" si="147"/>
        <v/>
      </c>
    </row>
    <row r="146" spans="31:38" x14ac:dyDescent="0.25">
      <c r="AE146" t="s">
        <v>151</v>
      </c>
      <c r="AF146" s="4">
        <f t="shared" si="141"/>
        <v>569.77935881488725</v>
      </c>
      <c r="AG146">
        <f t="shared" si="142"/>
        <v>2.8315969487829315E+247</v>
      </c>
      <c r="AH146">
        <f t="shared" si="143"/>
        <v>2.8315997803812889E+247</v>
      </c>
      <c r="AI146">
        <f t="shared" si="144"/>
        <v>2.8315941171874058E+247</v>
      </c>
      <c r="AJ146">
        <f t="shared" si="145"/>
        <v>2.8315969415407178E+247</v>
      </c>
      <c r="AK146">
        <f t="shared" si="146"/>
        <v>568.77935881232963</v>
      </c>
      <c r="AL146" t="str">
        <f t="shared" si="147"/>
        <v/>
      </c>
    </row>
    <row r="147" spans="31:38" x14ac:dyDescent="0.25">
      <c r="AE147" t="s">
        <v>152</v>
      </c>
      <c r="AF147" s="4">
        <f t="shared" si="141"/>
        <v>568.77935881232963</v>
      </c>
      <c r="AG147">
        <f t="shared" si="142"/>
        <v>1.0416863004767958E+247</v>
      </c>
      <c r="AH147">
        <f t="shared" si="143"/>
        <v>1.0416873421636146E+247</v>
      </c>
      <c r="AI147">
        <f t="shared" si="144"/>
        <v>1.0416852587910188E+247</v>
      </c>
      <c r="AJ147">
        <f t="shared" si="145"/>
        <v>1.0416862978961532E+247</v>
      </c>
      <c r="AK147">
        <f t="shared" si="146"/>
        <v>567.77935880985228</v>
      </c>
      <c r="AL147" t="str">
        <f t="shared" si="147"/>
        <v/>
      </c>
    </row>
    <row r="148" spans="31:38" x14ac:dyDescent="0.25">
      <c r="AE148" t="s">
        <v>153</v>
      </c>
      <c r="AF148" s="4">
        <f t="shared" si="141"/>
        <v>567.77935880985228</v>
      </c>
      <c r="AG148">
        <f t="shared" si="142"/>
        <v>3.8321497314599326E+246</v>
      </c>
      <c r="AH148">
        <f t="shared" si="143"/>
        <v>3.8321535636115702E+246</v>
      </c>
      <c r="AI148">
        <f t="shared" si="144"/>
        <v>3.8321458993121267E+246</v>
      </c>
      <c r="AJ148">
        <f t="shared" si="145"/>
        <v>3.8321497217248478E+246</v>
      </c>
      <c r="AK148">
        <f t="shared" si="146"/>
        <v>566.77935880731195</v>
      </c>
      <c r="AL148" t="str">
        <f t="shared" si="147"/>
        <v/>
      </c>
    </row>
    <row r="149" spans="31:38" x14ac:dyDescent="0.25">
      <c r="AE149" t="s">
        <v>154</v>
      </c>
      <c r="AF149" s="4">
        <f t="shared" si="141"/>
        <v>566.77935880731195</v>
      </c>
      <c r="AG149">
        <f t="shared" si="142"/>
        <v>1.4097690981134906E+246</v>
      </c>
      <c r="AH149">
        <f t="shared" si="143"/>
        <v>1.4097705078832899E+246</v>
      </c>
      <c r="AI149">
        <f t="shared" si="144"/>
        <v>1.4097676883451009E+246</v>
      </c>
      <c r="AJ149">
        <f t="shared" si="145"/>
        <v>1.4097690945458397E+246</v>
      </c>
      <c r="AK149">
        <f t="shared" si="146"/>
        <v>565.77935880478128</v>
      </c>
      <c r="AL149" t="str">
        <f t="shared" si="147"/>
        <v/>
      </c>
    </row>
    <row r="150" spans="31:38" x14ac:dyDescent="0.25">
      <c r="AE150" t="s">
        <v>155</v>
      </c>
      <c r="AF150" s="4">
        <f t="shared" si="141"/>
        <v>565.77935880478128</v>
      </c>
      <c r="AG150">
        <f t="shared" si="142"/>
        <v>5.1862506668229073E+245</v>
      </c>
      <c r="AH150">
        <f t="shared" si="143"/>
        <v>5.186255853076154E+245</v>
      </c>
      <c r="AI150">
        <f t="shared" si="144"/>
        <v>5.1862454805748469E+245</v>
      </c>
      <c r="AJ150">
        <f t="shared" si="145"/>
        <v>5.1862506535017305E+245</v>
      </c>
      <c r="AK150">
        <f t="shared" si="146"/>
        <v>564.77935880221276</v>
      </c>
      <c r="AL150" t="str">
        <f t="shared" si="147"/>
        <v/>
      </c>
    </row>
    <row r="151" spans="31:38" x14ac:dyDescent="0.25">
      <c r="AE151" t="s">
        <v>156</v>
      </c>
      <c r="AF151" s="4">
        <f t="shared" si="141"/>
        <v>564.77935880221276</v>
      </c>
      <c r="AG151">
        <f t="shared" si="142"/>
        <v>1.9079149921853006E+245</v>
      </c>
      <c r="AH151">
        <f t="shared" si="143"/>
        <v>1.9079169001012421E+245</v>
      </c>
      <c r="AI151">
        <f t="shared" si="144"/>
        <v>1.9079130842712673E+245</v>
      </c>
      <c r="AJ151">
        <f t="shared" si="145"/>
        <v>1.9079149873767215E+245</v>
      </c>
      <c r="AK151">
        <f t="shared" si="146"/>
        <v>563.77935879969243</v>
      </c>
      <c r="AL151" t="str">
        <f t="shared" si="147"/>
        <v/>
      </c>
    </row>
    <row r="152" spans="31:38" x14ac:dyDescent="0.25">
      <c r="AE152" t="s">
        <v>157</v>
      </c>
      <c r="AF152" s="4">
        <f t="shared" si="141"/>
        <v>563.77935879969243</v>
      </c>
      <c r="AG152">
        <f t="shared" si="142"/>
        <v>7.0188269935877368E+244</v>
      </c>
      <c r="AH152">
        <f t="shared" si="143"/>
        <v>7.018834012418222E+244</v>
      </c>
      <c r="AI152">
        <f t="shared" si="144"/>
        <v>7.0188199747642706E+244</v>
      </c>
      <c r="AJ152">
        <f t="shared" si="145"/>
        <v>7.0188269756590177E+244</v>
      </c>
      <c r="AK152">
        <f t="shared" si="146"/>
        <v>562.779358797138</v>
      </c>
      <c r="AL152" t="str">
        <f t="shared" si="147"/>
        <v/>
      </c>
    </row>
    <row r="153" spans="31:38" x14ac:dyDescent="0.25">
      <c r="AE153" t="s">
        <v>158</v>
      </c>
      <c r="AF153" s="4">
        <f t="shared" si="141"/>
        <v>562.779358797138</v>
      </c>
      <c r="AG153">
        <f t="shared" si="142"/>
        <v>2.5820821454843444E+244</v>
      </c>
      <c r="AH153">
        <f t="shared" si="143"/>
        <v>2.5820847275677743E+244</v>
      </c>
      <c r="AI153">
        <f t="shared" si="144"/>
        <v>2.5820795634034964E+244</v>
      </c>
      <c r="AJ153">
        <f t="shared" si="145"/>
        <v>2.582082138963396E+244</v>
      </c>
      <c r="AK153">
        <f t="shared" si="146"/>
        <v>561.77935879461256</v>
      </c>
      <c r="AL153" t="str">
        <f t="shared" si="147"/>
        <v/>
      </c>
    </row>
    <row r="154" spans="31:38" x14ac:dyDescent="0.25">
      <c r="AE154" t="s">
        <v>159</v>
      </c>
      <c r="AF154" s="4">
        <f t="shared" si="141"/>
        <v>561.77935879461256</v>
      </c>
      <c r="AG154">
        <f t="shared" si="142"/>
        <v>9.4989493434063736E+243</v>
      </c>
      <c r="AH154">
        <f t="shared" si="143"/>
        <v>9.4989588423604418E+243</v>
      </c>
      <c r="AI154">
        <f t="shared" si="144"/>
        <v>9.4989398444618025E+243</v>
      </c>
      <c r="AJ154">
        <f t="shared" si="145"/>
        <v>9.4989493196386862E+243</v>
      </c>
      <c r="AK154">
        <f t="shared" si="146"/>
        <v>560.77935879211043</v>
      </c>
      <c r="AL154" t="str">
        <f t="shared" si="147"/>
        <v/>
      </c>
    </row>
    <row r="155" spans="31:38" x14ac:dyDescent="0.25">
      <c r="AE155" t="s">
        <v>160</v>
      </c>
      <c r="AF155" s="4">
        <f t="shared" si="141"/>
        <v>560.77935879211043</v>
      </c>
      <c r="AG155">
        <f t="shared" si="142"/>
        <v>3.4944681674245491E+243</v>
      </c>
      <c r="AH155">
        <f t="shared" si="143"/>
        <v>3.4944716618944553E+243</v>
      </c>
      <c r="AI155">
        <f t="shared" si="144"/>
        <v>3.4944646729581382E+243</v>
      </c>
      <c r="AJ155">
        <f t="shared" si="145"/>
        <v>3.4944681585413779E+243</v>
      </c>
      <c r="AK155">
        <f t="shared" si="146"/>
        <v>559.77935878956839</v>
      </c>
      <c r="AL155" t="str">
        <f t="shared" si="147"/>
        <v/>
      </c>
    </row>
    <row r="156" spans="31:38" x14ac:dyDescent="0.25">
      <c r="AE156" t="s">
        <v>161</v>
      </c>
      <c r="AF156" s="4">
        <f t="shared" si="141"/>
        <v>559.77935878956839</v>
      </c>
      <c r="AG156">
        <f t="shared" si="142"/>
        <v>1.2855429933556386E+243</v>
      </c>
      <c r="AH156">
        <f t="shared" si="143"/>
        <v>1.2855442788992715E+243</v>
      </c>
      <c r="AI156">
        <f t="shared" si="144"/>
        <v>1.2855417078132912E+243</v>
      </c>
      <c r="AJ156">
        <f t="shared" si="145"/>
        <v>1.2855429901535863E+243</v>
      </c>
      <c r="AK156">
        <f t="shared" si="146"/>
        <v>558.77935878707763</v>
      </c>
      <c r="AL156" t="str">
        <f t="shared" si="147"/>
        <v/>
      </c>
    </row>
    <row r="157" spans="31:38" x14ac:dyDescent="0.25">
      <c r="AE157" t="s">
        <v>162</v>
      </c>
      <c r="AF157" s="4">
        <f t="shared" si="141"/>
        <v>558.77935878707763</v>
      </c>
      <c r="AG157">
        <f t="shared" si="142"/>
        <v>4.7292483681959088E+242</v>
      </c>
      <c r="AH157">
        <f t="shared" si="143"/>
        <v>4.7292530974466301E+242</v>
      </c>
      <c r="AI157">
        <f t="shared" si="144"/>
        <v>4.7292436389499169E+242</v>
      </c>
      <c r="AJ157">
        <f t="shared" si="145"/>
        <v>4.7292483566066778E+242</v>
      </c>
      <c r="AK157">
        <f t="shared" si="146"/>
        <v>557.77935878462711</v>
      </c>
      <c r="AL157" t="str">
        <f t="shared" si="147"/>
        <v/>
      </c>
    </row>
    <row r="158" spans="31:38" x14ac:dyDescent="0.25">
      <c r="AE158" t="s">
        <v>163</v>
      </c>
      <c r="AF158" s="4">
        <f t="shared" si="141"/>
        <v>557.77935878462711</v>
      </c>
      <c r="AG158">
        <f t="shared" si="142"/>
        <v>1.7397932425894687E+242</v>
      </c>
      <c r="AH158">
        <f t="shared" si="143"/>
        <v>1.7397949823835769E+242</v>
      </c>
      <c r="AI158">
        <f t="shared" si="144"/>
        <v>1.7397915027971005E+242</v>
      </c>
      <c r="AJ158">
        <f t="shared" si="145"/>
        <v>1.7397932381631367E+242</v>
      </c>
      <c r="AK158">
        <f t="shared" si="146"/>
        <v>556.77935878208291</v>
      </c>
      <c r="AL158" t="str">
        <f t="shared" si="147"/>
        <v/>
      </c>
    </row>
    <row r="159" spans="31:38" x14ac:dyDescent="0.25">
      <c r="AE159" t="s">
        <v>164</v>
      </c>
      <c r="AF159" s="4">
        <f t="shared" si="141"/>
        <v>556.77935878208291</v>
      </c>
      <c r="AG159">
        <f t="shared" si="142"/>
        <v>6.4003416420929191E+241</v>
      </c>
      <c r="AH159">
        <f t="shared" si="143"/>
        <v>6.4003480424377444E+241</v>
      </c>
      <c r="AI159">
        <f t="shared" si="144"/>
        <v>6.4003352417544923E+241</v>
      </c>
      <c r="AJ159">
        <f t="shared" si="145"/>
        <v>6.4003416260163462E+241</v>
      </c>
      <c r="AK159">
        <f t="shared" si="146"/>
        <v>555.77935877957111</v>
      </c>
      <c r="AL159" t="str">
        <f t="shared" si="147"/>
        <v/>
      </c>
    </row>
    <row r="160" spans="31:38" x14ac:dyDescent="0.25">
      <c r="AE160" t="s">
        <v>165</v>
      </c>
      <c r="AF160" s="4">
        <f t="shared" si="141"/>
        <v>555.77935877957111</v>
      </c>
      <c r="AG160">
        <f t="shared" si="142"/>
        <v>2.3545541006852925E+241</v>
      </c>
      <c r="AH160">
        <f t="shared" si="143"/>
        <v>2.3545564552405644E+241</v>
      </c>
      <c r="AI160">
        <f t="shared" si="144"/>
        <v>2.3545517461323751E+241</v>
      </c>
      <c r="AJ160">
        <f t="shared" si="145"/>
        <v>2.3545540946649012E+241</v>
      </c>
      <c r="AK160">
        <f t="shared" si="146"/>
        <v>554.77935877701418</v>
      </c>
      <c r="AL160" t="str">
        <f t="shared" si="147"/>
        <v/>
      </c>
    </row>
    <row r="161" spans="31:38" x14ac:dyDescent="0.25">
      <c r="AE161" t="s">
        <v>166</v>
      </c>
      <c r="AF161" s="4">
        <f t="shared" si="141"/>
        <v>554.77935877701418</v>
      </c>
      <c r="AG161">
        <f t="shared" si="142"/>
        <v>8.6619204455324033E+240</v>
      </c>
      <c r="AH161">
        <f t="shared" si="143"/>
        <v>8.6619291074571574E+240</v>
      </c>
      <c r="AI161">
        <f t="shared" si="144"/>
        <v>8.6619117836163108E+240</v>
      </c>
      <c r="AJ161">
        <f t="shared" si="145"/>
        <v>8.6619204232718773E+240</v>
      </c>
      <c r="AK161">
        <f t="shared" si="146"/>
        <v>553.77935877444429</v>
      </c>
      <c r="AL161" t="str">
        <f t="shared" si="147"/>
        <v/>
      </c>
    </row>
    <row r="162" spans="31:38" x14ac:dyDescent="0.25">
      <c r="AE162" t="s">
        <v>167</v>
      </c>
      <c r="AF162" s="4">
        <f t="shared" si="141"/>
        <v>553.77935877444429</v>
      </c>
      <c r="AG162">
        <f t="shared" si="142"/>
        <v>3.1865424447848846E+240</v>
      </c>
      <c r="AH162">
        <f t="shared" si="143"/>
        <v>3.1865456313289146E+240</v>
      </c>
      <c r="AI162">
        <f t="shared" si="144"/>
        <v>3.1865392582440412E+240</v>
      </c>
      <c r="AJ162">
        <f t="shared" si="145"/>
        <v>3.1865424366802871E+240</v>
      </c>
      <c r="AK162">
        <f t="shared" si="146"/>
        <v>552.77935877190089</v>
      </c>
      <c r="AL162" t="str">
        <f t="shared" si="147"/>
        <v/>
      </c>
    </row>
    <row r="163" spans="31:38" x14ac:dyDescent="0.25">
      <c r="AE163" t="s">
        <v>168</v>
      </c>
      <c r="AF163" s="4">
        <f t="shared" si="141"/>
        <v>552.77935877190089</v>
      </c>
      <c r="AG163">
        <f t="shared" si="142"/>
        <v>1.1722634508750078E+240</v>
      </c>
      <c r="AH163">
        <f t="shared" si="143"/>
        <v>1.1722646231390418E+240</v>
      </c>
      <c r="AI163">
        <f t="shared" si="144"/>
        <v>1.1722622786121459E+240</v>
      </c>
      <c r="AJ163">
        <f t="shared" si="145"/>
        <v>1.1722634479504089E+240</v>
      </c>
      <c r="AK163">
        <f t="shared" si="146"/>
        <v>551.77935876940603</v>
      </c>
      <c r="AL163" t="str">
        <f t="shared" si="147"/>
        <v/>
      </c>
    </row>
    <row r="164" spans="31:38" x14ac:dyDescent="0.25">
      <c r="AE164" t="s">
        <v>169</v>
      </c>
      <c r="AF164" s="4">
        <f t="shared" si="141"/>
        <v>551.77935876940603</v>
      </c>
      <c r="AG164">
        <f t="shared" si="142"/>
        <v>4.3125162213769296E+239</v>
      </c>
      <c r="AH164">
        <f t="shared" si="143"/>
        <v>4.312520533895297E+239</v>
      </c>
      <c r="AI164">
        <f t="shared" si="144"/>
        <v>4.3125119088628755E+239</v>
      </c>
      <c r="AJ164">
        <f t="shared" si="145"/>
        <v>4.3125162107396674E+239</v>
      </c>
      <c r="AK164">
        <f t="shared" si="146"/>
        <v>550.77935876693948</v>
      </c>
      <c r="AL164" t="str">
        <f t="shared" si="147"/>
        <v/>
      </c>
    </row>
    <row r="165" spans="31:38" x14ac:dyDescent="0.25">
      <c r="AE165" t="s">
        <v>170</v>
      </c>
      <c r="AF165" s="4">
        <f t="shared" si="141"/>
        <v>550.77935876693948</v>
      </c>
      <c r="AG165">
        <f t="shared" si="142"/>
        <v>1.5864860536497785E+239</v>
      </c>
      <c r="AH165">
        <f t="shared" si="143"/>
        <v>1.5864876401366213E+239</v>
      </c>
      <c r="AI165">
        <f t="shared" si="144"/>
        <v>1.5864844671645221E+239</v>
      </c>
      <c r="AJ165">
        <f t="shared" si="145"/>
        <v>1.5864860496203053E+239</v>
      </c>
      <c r="AK165">
        <f t="shared" si="146"/>
        <v>549.7793587643996</v>
      </c>
      <c r="AL165" t="str">
        <f t="shared" si="147"/>
        <v/>
      </c>
    </row>
    <row r="166" spans="31:38" x14ac:dyDescent="0.25">
      <c r="AE166" t="s">
        <v>171</v>
      </c>
      <c r="AF166" s="4">
        <f t="shared" si="141"/>
        <v>549.7793587643996</v>
      </c>
      <c r="AG166">
        <f t="shared" si="142"/>
        <v>5.8363560136060439E+238</v>
      </c>
      <c r="AH166">
        <f t="shared" si="143"/>
        <v>5.8363618499649608E+238</v>
      </c>
      <c r="AI166">
        <f t="shared" si="144"/>
        <v>5.8363501772529625E+238</v>
      </c>
      <c r="AJ166">
        <f t="shared" si="145"/>
        <v>5.8363559991566469E+238</v>
      </c>
      <c r="AK166">
        <f t="shared" si="146"/>
        <v>548.77935876192385</v>
      </c>
      <c r="AL166" t="str">
        <f t="shared" si="147"/>
        <v/>
      </c>
    </row>
    <row r="167" spans="31:38" x14ac:dyDescent="0.25">
      <c r="AE167" t="s">
        <v>172</v>
      </c>
      <c r="AF167" s="4">
        <f t="shared" si="141"/>
        <v>548.77935876192385</v>
      </c>
      <c r="AG167">
        <f t="shared" si="142"/>
        <v>2.1470753834473384E+238</v>
      </c>
      <c r="AH167">
        <f t="shared" si="143"/>
        <v>2.1470775305237899E+238</v>
      </c>
      <c r="AI167">
        <f t="shared" si="144"/>
        <v>2.1470732363730339E+238</v>
      </c>
      <c r="AJ167">
        <f t="shared" si="145"/>
        <v>2.1470753780075801E+238</v>
      </c>
      <c r="AK167">
        <f t="shared" si="146"/>
        <v>547.77935875939033</v>
      </c>
      <c r="AL167" t="str">
        <f t="shared" si="147"/>
        <v/>
      </c>
    </row>
    <row r="168" spans="31:38" x14ac:dyDescent="0.25">
      <c r="AE168" t="s">
        <v>173</v>
      </c>
      <c r="AF168" s="4">
        <f t="shared" si="141"/>
        <v>547.77935875939033</v>
      </c>
      <c r="AG168">
        <f t="shared" si="142"/>
        <v>7.8986489021443553E+237</v>
      </c>
      <c r="AH168">
        <f t="shared" si="143"/>
        <v>7.8986568007971865E+237</v>
      </c>
      <c r="AI168">
        <f t="shared" si="144"/>
        <v>7.898641003499423E+237</v>
      </c>
      <c r="AJ168">
        <f t="shared" si="145"/>
        <v>7.8986488817866403E+237</v>
      </c>
      <c r="AK168">
        <f t="shared" si="146"/>
        <v>546.77935875681294</v>
      </c>
      <c r="AL168" t="str">
        <f t="shared" si="147"/>
        <v/>
      </c>
    </row>
    <row r="169" spans="31:38" x14ac:dyDescent="0.25">
      <c r="AE169" t="s">
        <v>174</v>
      </c>
      <c r="AF169" s="4">
        <f t="shared" si="141"/>
        <v>546.77935875681294</v>
      </c>
      <c r="AG169">
        <f t="shared" si="142"/>
        <v>2.905750536641027E+237</v>
      </c>
      <c r="AH169">
        <f t="shared" si="143"/>
        <v>2.9057534423930093E+237</v>
      </c>
      <c r="AI169">
        <f t="shared" si="144"/>
        <v>2.9057476308919506E+237</v>
      </c>
      <c r="AJ169">
        <f t="shared" si="145"/>
        <v>2.9057505293813259E+237</v>
      </c>
      <c r="AK169">
        <f t="shared" si="146"/>
        <v>545.77935875431456</v>
      </c>
      <c r="AL169" t="str">
        <f t="shared" si="147"/>
        <v/>
      </c>
    </row>
    <row r="170" spans="31:38" x14ac:dyDescent="0.25">
      <c r="AE170" t="s">
        <v>175</v>
      </c>
      <c r="AF170" s="4">
        <f t="shared" si="141"/>
        <v>545.77935875431456</v>
      </c>
      <c r="AG170">
        <f t="shared" si="142"/>
        <v>1.0689658809324346E+237</v>
      </c>
      <c r="AH170">
        <f t="shared" si="143"/>
        <v>1.0689669498988474E+237</v>
      </c>
      <c r="AI170">
        <f t="shared" si="144"/>
        <v>1.0689648119670908E+237</v>
      </c>
      <c r="AJ170">
        <f t="shared" si="145"/>
        <v>1.0689658783109385E+237</v>
      </c>
      <c r="AK170">
        <f t="shared" si="146"/>
        <v>544.77935875186222</v>
      </c>
      <c r="AL170" t="str">
        <f t="shared" si="147"/>
        <v/>
      </c>
    </row>
    <row r="171" spans="31:38" x14ac:dyDescent="0.25">
      <c r="AE171" t="s">
        <v>176</v>
      </c>
      <c r="AF171" s="4">
        <f t="shared" si="141"/>
        <v>544.77935875186222</v>
      </c>
      <c r="AG171">
        <f t="shared" si="142"/>
        <v>3.9325056994437899E+236</v>
      </c>
      <c r="AH171">
        <f t="shared" si="143"/>
        <v>3.9325096319514456E+236</v>
      </c>
      <c r="AI171">
        <f t="shared" si="144"/>
        <v>3.9325017669400665E+236</v>
      </c>
      <c r="AJ171">
        <f t="shared" si="145"/>
        <v>3.9325056895464275E+236</v>
      </c>
      <c r="AK171">
        <f t="shared" si="146"/>
        <v>543.77935874934542</v>
      </c>
      <c r="AL171" t="str">
        <f t="shared" si="147"/>
        <v/>
      </c>
    </row>
    <row r="172" spans="31:38" x14ac:dyDescent="0.25">
      <c r="AE172" t="s">
        <v>177</v>
      </c>
      <c r="AF172" s="4">
        <f t="shared" si="141"/>
        <v>543.77935874934542</v>
      </c>
      <c r="AG172">
        <f t="shared" si="142"/>
        <v>1.4466879954738701E+236</v>
      </c>
      <c r="AH172">
        <f t="shared" si="143"/>
        <v>1.4466894421625852E+236</v>
      </c>
      <c r="AI172">
        <f t="shared" si="144"/>
        <v>1.4466865487866016E+236</v>
      </c>
      <c r="AJ172">
        <f t="shared" si="145"/>
        <v>1.4466879918274498E+236</v>
      </c>
      <c r="AK172">
        <f t="shared" si="146"/>
        <v>542.77935874682487</v>
      </c>
      <c r="AL172" t="str">
        <f t="shared" si="147"/>
        <v/>
      </c>
    </row>
    <row r="173" spans="31:38" x14ac:dyDescent="0.25">
      <c r="AE173" t="s">
        <v>178</v>
      </c>
      <c r="AF173" s="4">
        <f t="shared" si="141"/>
        <v>542.77935874682487</v>
      </c>
      <c r="AG173">
        <f t="shared" si="142"/>
        <v>5.3220676998290719E+235</v>
      </c>
      <c r="AH173">
        <f t="shared" si="143"/>
        <v>5.3220730218994187E+235</v>
      </c>
      <c r="AI173">
        <f t="shared" si="144"/>
        <v>5.3220623777640467E+235</v>
      </c>
      <c r="AJ173">
        <f t="shared" si="145"/>
        <v>5.3220676859859475E+235</v>
      </c>
      <c r="AK173">
        <f t="shared" si="146"/>
        <v>541.77935874422383</v>
      </c>
      <c r="AL173" t="str">
        <f t="shared" si="147"/>
        <v/>
      </c>
    </row>
    <row r="174" spans="31:38" x14ac:dyDescent="0.25">
      <c r="AE174" t="s">
        <v>179</v>
      </c>
      <c r="AF174" s="4">
        <f t="shared" si="141"/>
        <v>541.77935874422383</v>
      </c>
      <c r="AG174">
        <f t="shared" si="142"/>
        <v>1.9578792861971778E+235</v>
      </c>
      <c r="AH174">
        <f t="shared" si="143"/>
        <v>1.9578812440774379E+235</v>
      </c>
      <c r="AI174">
        <f t="shared" si="144"/>
        <v>1.9578773283188753E+235</v>
      </c>
      <c r="AJ174">
        <f t="shared" si="145"/>
        <v>1.9578792812905741E+235</v>
      </c>
      <c r="AK174">
        <f t="shared" si="146"/>
        <v>540.77935874171772</v>
      </c>
      <c r="AL174" t="str">
        <f t="shared" si="147"/>
        <v/>
      </c>
    </row>
    <row r="175" spans="31:38" x14ac:dyDescent="0.25">
      <c r="AE175" t="s">
        <v>180</v>
      </c>
      <c r="AF175" s="4">
        <f t="shared" si="141"/>
        <v>540.77935874171772</v>
      </c>
      <c r="AG175">
        <f t="shared" si="142"/>
        <v>7.2026353588229861E+234</v>
      </c>
      <c r="AH175">
        <f t="shared" si="143"/>
        <v>7.2026425614619279E+234</v>
      </c>
      <c r="AI175">
        <f t="shared" si="144"/>
        <v>7.2026281561912469E+234</v>
      </c>
      <c r="AJ175">
        <f t="shared" si="145"/>
        <v>7.2026353405227035E+234</v>
      </c>
      <c r="AK175">
        <f t="shared" si="146"/>
        <v>539.77935873917693</v>
      </c>
      <c r="AL175" t="str">
        <f t="shared" si="147"/>
        <v/>
      </c>
    </row>
    <row r="176" spans="31:38" x14ac:dyDescent="0.25">
      <c r="AE176" t="s">
        <v>181</v>
      </c>
      <c r="AF176" s="4">
        <f t="shared" si="141"/>
        <v>539.77935873917693</v>
      </c>
      <c r="AG176">
        <f t="shared" si="142"/>
        <v>2.6497014640331435E+234</v>
      </c>
      <c r="AH176">
        <f t="shared" si="143"/>
        <v>2.6497041137359257E+234</v>
      </c>
      <c r="AI176">
        <f t="shared" si="144"/>
        <v>2.6496988143330109E+234</v>
      </c>
      <c r="AJ176">
        <f t="shared" si="145"/>
        <v>2.649701457418768E+234</v>
      </c>
      <c r="AK176">
        <f t="shared" si="146"/>
        <v>538.77935873668071</v>
      </c>
      <c r="AL176" t="str">
        <f t="shared" si="147"/>
        <v/>
      </c>
    </row>
    <row r="177" spans="31:38" x14ac:dyDescent="0.25">
      <c r="AE177" t="s">
        <v>182</v>
      </c>
      <c r="AF177" s="4">
        <f t="shared" si="141"/>
        <v>538.77935873668071</v>
      </c>
      <c r="AG177">
        <f t="shared" si="142"/>
        <v>9.7477069142642144E+233</v>
      </c>
      <c r="AH177">
        <f t="shared" si="143"/>
        <v>9.747716661975977E+233</v>
      </c>
      <c r="AI177">
        <f t="shared" si="144"/>
        <v>9.7476971665621981E+233</v>
      </c>
      <c r="AJ177">
        <f t="shared" si="145"/>
        <v>9.7477068894443864E+233</v>
      </c>
      <c r="AK177">
        <f t="shared" si="146"/>
        <v>537.77935873413446</v>
      </c>
      <c r="AL177" t="str">
        <f t="shared" si="147"/>
        <v/>
      </c>
    </row>
    <row r="178" spans="31:38" x14ac:dyDescent="0.25">
      <c r="AE178" t="s">
        <v>183</v>
      </c>
      <c r="AF178" s="4">
        <f t="shared" si="141"/>
        <v>537.77935873413446</v>
      </c>
      <c r="AG178">
        <f t="shared" si="142"/>
        <v>3.5859809631917409E+233</v>
      </c>
      <c r="AH178">
        <f t="shared" si="143"/>
        <v>3.5859845491744879E+233</v>
      </c>
      <c r="AI178">
        <f t="shared" si="144"/>
        <v>3.5859773772125795E+233</v>
      </c>
      <c r="AJ178">
        <f t="shared" si="145"/>
        <v>3.5859809541850973E+233</v>
      </c>
      <c r="AK178">
        <f t="shared" si="146"/>
        <v>536.77935873162289</v>
      </c>
      <c r="AL178" t="str">
        <f t="shared" si="147"/>
        <v/>
      </c>
    </row>
    <row r="179" spans="31:38" x14ac:dyDescent="0.25">
      <c r="AE179" t="s">
        <v>184</v>
      </c>
      <c r="AF179" s="4">
        <f t="shared" si="141"/>
        <v>536.77935873162289</v>
      </c>
      <c r="AG179">
        <f t="shared" si="142"/>
        <v>1.3192086694771237E+233</v>
      </c>
      <c r="AH179">
        <f t="shared" si="143"/>
        <v>1.3192099886864493E+233</v>
      </c>
      <c r="AI179">
        <f t="shared" si="144"/>
        <v>1.3192073502691171E+233</v>
      </c>
      <c r="AJ179">
        <f t="shared" si="145"/>
        <v>1.3192086661243284E+233</v>
      </c>
      <c r="AK179">
        <f t="shared" si="146"/>
        <v>535.77935872908142</v>
      </c>
      <c r="AL179" t="str">
        <f t="shared" si="147"/>
        <v/>
      </c>
    </row>
    <row r="180" spans="31:38" x14ac:dyDescent="0.25">
      <c r="AE180" t="s">
        <v>185</v>
      </c>
      <c r="AF180" s="4">
        <f t="shared" si="141"/>
        <v>535.77935872908142</v>
      </c>
      <c r="AG180">
        <f t="shared" si="142"/>
        <v>4.8530974688236643E+232</v>
      </c>
      <c r="AH180">
        <f t="shared" si="143"/>
        <v>4.8531023219235471E+232</v>
      </c>
      <c r="AI180">
        <f t="shared" si="144"/>
        <v>4.8530926157286341E+232</v>
      </c>
      <c r="AJ180">
        <f t="shared" si="145"/>
        <v>4.8530974565154178E+232</v>
      </c>
      <c r="AK180">
        <f t="shared" si="146"/>
        <v>534.7793587265453</v>
      </c>
      <c r="AL180" t="str">
        <f t="shared" si="147"/>
        <v/>
      </c>
    </row>
    <row r="181" spans="31:38" x14ac:dyDescent="0.25">
      <c r="AE181" t="s">
        <v>186</v>
      </c>
      <c r="AF181" s="4">
        <f t="shared" si="141"/>
        <v>534.7793587265453</v>
      </c>
      <c r="AG181">
        <f t="shared" si="142"/>
        <v>1.7853547802535062E+232</v>
      </c>
      <c r="AH181">
        <f t="shared" si="143"/>
        <v>1.7853565656091746E+232</v>
      </c>
      <c r="AI181">
        <f t="shared" si="144"/>
        <v>1.785352994899623E+232</v>
      </c>
      <c r="AJ181">
        <f t="shared" si="145"/>
        <v>1.7853547758029173E+232</v>
      </c>
      <c r="AK181">
        <f t="shared" si="146"/>
        <v>533.77935872405249</v>
      </c>
      <c r="AL181" t="str">
        <f t="shared" si="147"/>
        <v/>
      </c>
    </row>
    <row r="182" spans="31:38" x14ac:dyDescent="0.25">
      <c r="AE182" t="s">
        <v>187</v>
      </c>
      <c r="AF182" s="4">
        <f t="shared" si="141"/>
        <v>533.77935872405249</v>
      </c>
      <c r="AG182">
        <f t="shared" si="142"/>
        <v>6.5679531721515619E+231</v>
      </c>
      <c r="AH182">
        <f t="shared" si="143"/>
        <v>6.5679597401080026E+231</v>
      </c>
      <c r="AI182">
        <f t="shared" si="144"/>
        <v>6.5679466042016904E+231</v>
      </c>
      <c r="AJ182">
        <f t="shared" si="145"/>
        <v>6.5679531561039412E+231</v>
      </c>
      <c r="AK182">
        <f t="shared" si="146"/>
        <v>532.77935872160913</v>
      </c>
      <c r="AL182" t="str">
        <f t="shared" si="147"/>
        <v/>
      </c>
    </row>
    <row r="183" spans="31:38" x14ac:dyDescent="0.25">
      <c r="AE183" t="s">
        <v>188</v>
      </c>
      <c r="AF183" s="4">
        <f t="shared" si="141"/>
        <v>532.77935872160913</v>
      </c>
      <c r="AG183">
        <f t="shared" si="142"/>
        <v>2.4162149367076419E+231</v>
      </c>
      <c r="AH183">
        <f t="shared" si="143"/>
        <v>2.4162173529237803E+231</v>
      </c>
      <c r="AI183">
        <f t="shared" si="144"/>
        <v>2.4162125204939193E+231</v>
      </c>
      <c r="AJ183">
        <f t="shared" si="145"/>
        <v>2.416214930496762E+231</v>
      </c>
      <c r="AK183">
        <f t="shared" si="146"/>
        <v>531.77935871903867</v>
      </c>
      <c r="AL183" t="str">
        <f t="shared" si="147"/>
        <v/>
      </c>
    </row>
    <row r="184" spans="31:38" x14ac:dyDescent="0.25">
      <c r="AE184" t="s">
        <v>189</v>
      </c>
      <c r="AF184" s="4">
        <f t="shared" si="141"/>
        <v>531.77935871903867</v>
      </c>
      <c r="AG184">
        <f t="shared" si="142"/>
        <v>8.8887579838128004E+230</v>
      </c>
      <c r="AH184">
        <f t="shared" si="143"/>
        <v>8.8887668725752047E+230</v>
      </c>
      <c r="AI184">
        <f t="shared" si="144"/>
        <v>8.8887490950592832E+230</v>
      </c>
      <c r="AJ184">
        <f t="shared" si="145"/>
        <v>8.8887579607575808E+230</v>
      </c>
      <c r="AK184">
        <f t="shared" si="146"/>
        <v>530.7793587164449</v>
      </c>
      <c r="AL184" t="str">
        <f t="shared" si="147"/>
        <v/>
      </c>
    </row>
    <row r="185" spans="31:38" x14ac:dyDescent="0.25">
      <c r="AE185" t="s">
        <v>190</v>
      </c>
      <c r="AF185" s="4">
        <f t="shared" si="141"/>
        <v>530.7793587164449</v>
      </c>
      <c r="AG185">
        <f t="shared" si="142"/>
        <v>3.2699913113116595E+230</v>
      </c>
      <c r="AH185">
        <f t="shared" si="143"/>
        <v>3.2699945813045973E+230</v>
      </c>
      <c r="AI185">
        <f t="shared" si="144"/>
        <v>3.2699880413219914E+230</v>
      </c>
      <c r="AJ185">
        <f t="shared" si="145"/>
        <v>3.2699913029571717E+230</v>
      </c>
      <c r="AK185">
        <f t="shared" si="146"/>
        <v>529.77935871389002</v>
      </c>
      <c r="AL185" t="str">
        <f t="shared" si="147"/>
        <v/>
      </c>
    </row>
    <row r="186" spans="31:38" x14ac:dyDescent="0.25">
      <c r="AE186" t="s">
        <v>191</v>
      </c>
      <c r="AF186" s="4">
        <f t="shared" si="141"/>
        <v>529.77935871389002</v>
      </c>
      <c r="AG186">
        <f t="shared" si="142"/>
        <v>1.202962573167375E+230</v>
      </c>
      <c r="AH186">
        <f t="shared" si="143"/>
        <v>1.2029637761305465E+230</v>
      </c>
      <c r="AI186">
        <f t="shared" si="144"/>
        <v>1.2029613702054062E+230</v>
      </c>
      <c r="AJ186">
        <f t="shared" si="145"/>
        <v>1.2029625701318449E+230</v>
      </c>
      <c r="AK186">
        <f t="shared" si="146"/>
        <v>528.77935871136663</v>
      </c>
      <c r="AL186" t="str">
        <f t="shared" si="147"/>
        <v/>
      </c>
    </row>
    <row r="187" spans="31:38" x14ac:dyDescent="0.25">
      <c r="AE187" t="s">
        <v>192</v>
      </c>
      <c r="AF187" s="4">
        <f t="shared" si="141"/>
        <v>528.77935871136663</v>
      </c>
      <c r="AG187">
        <f t="shared" si="142"/>
        <v>4.4254519805025874E+229</v>
      </c>
      <c r="AH187">
        <f t="shared" si="143"/>
        <v>4.4254564059567694E+229</v>
      </c>
      <c r="AI187">
        <f t="shared" si="144"/>
        <v>4.4254475550528308E+229</v>
      </c>
      <c r="AJ187">
        <f t="shared" si="145"/>
        <v>4.4254519693291745E+229</v>
      </c>
      <c r="AK187">
        <f t="shared" si="146"/>
        <v>527.77935870884187</v>
      </c>
      <c r="AL187" t="str">
        <f t="shared" si="147"/>
        <v/>
      </c>
    </row>
    <row r="188" spans="31:38" x14ac:dyDescent="0.25">
      <c r="AE188" t="s">
        <v>193</v>
      </c>
      <c r="AF188" s="4">
        <f t="shared" si="141"/>
        <v>527.77935870884187</v>
      </c>
      <c r="AG188">
        <f t="shared" si="142"/>
        <v>1.6280327974079567E+229</v>
      </c>
      <c r="AH188">
        <f t="shared" si="143"/>
        <v>1.628034425441564E+229</v>
      </c>
      <c r="AI188">
        <f t="shared" si="144"/>
        <v>1.6280311693759774E+229</v>
      </c>
      <c r="AJ188">
        <f t="shared" si="145"/>
        <v>1.6280327932986423E+229</v>
      </c>
      <c r="AK188">
        <f t="shared" si="146"/>
        <v>526.77935870631779</v>
      </c>
      <c r="AL188" t="str">
        <f t="shared" si="147"/>
        <v/>
      </c>
    </row>
    <row r="189" spans="31:38" x14ac:dyDescent="0.25">
      <c r="AE189" t="s">
        <v>194</v>
      </c>
      <c r="AF189" s="4">
        <f t="shared" si="141"/>
        <v>526.77935870631779</v>
      </c>
      <c r="AG189">
        <f t="shared" si="142"/>
        <v>5.9891979420750051E+228</v>
      </c>
      <c r="AH189">
        <f t="shared" si="143"/>
        <v>5.9892039312759269E+228</v>
      </c>
      <c r="AI189">
        <f t="shared" si="144"/>
        <v>5.989191952880073E+228</v>
      </c>
      <c r="AJ189">
        <f t="shared" si="145"/>
        <v>5.9891979269725661E+228</v>
      </c>
      <c r="AK189">
        <f t="shared" si="146"/>
        <v>525.77935870379622</v>
      </c>
      <c r="AL189" t="str">
        <f t="shared" si="147"/>
        <v/>
      </c>
    </row>
    <row r="190" spans="31:38" x14ac:dyDescent="0.25">
      <c r="AE190" t="s">
        <v>195</v>
      </c>
      <c r="AF190" s="4">
        <f t="shared" si="141"/>
        <v>525.77935870379622</v>
      </c>
      <c r="AG190">
        <f t="shared" si="142"/>
        <v>2.2033027864399141E+228</v>
      </c>
      <c r="AH190">
        <f t="shared" si="143"/>
        <v>2.2033049897437964E+228</v>
      </c>
      <c r="AI190">
        <f t="shared" si="144"/>
        <v>2.203300583138235E+228</v>
      </c>
      <c r="AJ190">
        <f t="shared" si="145"/>
        <v>2.2033027807087087E+228</v>
      </c>
      <c r="AK190">
        <f t="shared" si="146"/>
        <v>524.77935870119506</v>
      </c>
      <c r="AL190" t="str">
        <f t="shared" si="147"/>
        <v/>
      </c>
    </row>
    <row r="191" spans="31:38" x14ac:dyDescent="0.25">
      <c r="AE191" t="s">
        <v>196</v>
      </c>
      <c r="AF191" s="4">
        <f t="shared" si="141"/>
        <v>524.77935870119506</v>
      </c>
      <c r="AG191">
        <f t="shared" si="142"/>
        <v>8.1054979569863182E+227</v>
      </c>
      <c r="AH191">
        <f t="shared" si="143"/>
        <v>8.1055060624883072E+227</v>
      </c>
      <c r="AI191">
        <f t="shared" si="144"/>
        <v>8.1054898514924339E+227</v>
      </c>
      <c r="AJ191">
        <f t="shared" si="145"/>
        <v>8.1054979366562413E+227</v>
      </c>
      <c r="AK191">
        <f t="shared" si="146"/>
        <v>523.77935869868691</v>
      </c>
      <c r="AL191" t="str">
        <f t="shared" si="147"/>
        <v/>
      </c>
    </row>
    <row r="192" spans="31:38" x14ac:dyDescent="0.25">
      <c r="AE192" t="s">
        <v>197</v>
      </c>
      <c r="AF192" s="4">
        <f t="shared" si="141"/>
        <v>523.77935869868691</v>
      </c>
      <c r="AG192">
        <f t="shared" si="142"/>
        <v>2.9818460513534501E+227</v>
      </c>
      <c r="AH192">
        <f t="shared" si="143"/>
        <v>2.9818490332009847E+227</v>
      </c>
      <c r="AI192">
        <f t="shared" si="144"/>
        <v>2.9818430695088969E+227</v>
      </c>
      <c r="AJ192">
        <f t="shared" si="145"/>
        <v>2.9818460438742901E+227</v>
      </c>
      <c r="AK192">
        <f t="shared" si="146"/>
        <v>522.77935869617863</v>
      </c>
      <c r="AL192" t="str">
        <f t="shared" si="147"/>
        <v/>
      </c>
    </row>
    <row r="193" spans="31:38" x14ac:dyDescent="0.25">
      <c r="AE193" t="s">
        <v>198</v>
      </c>
      <c r="AF193" s="4">
        <f t="shared" si="141"/>
        <v>522.77935869617863</v>
      </c>
      <c r="AG193">
        <f t="shared" si="142"/>
        <v>1.0969598562797047E+227</v>
      </c>
      <c r="AH193">
        <f t="shared" si="143"/>
        <v>1.0969609532401067E+227</v>
      </c>
      <c r="AI193">
        <f t="shared" si="144"/>
        <v>1.0969587593203995E+227</v>
      </c>
      <c r="AJ193">
        <f t="shared" si="145"/>
        <v>1.0969598535772061E+227</v>
      </c>
      <c r="AK193">
        <f t="shared" si="146"/>
        <v>521.77935869371504</v>
      </c>
      <c r="AL193" t="str">
        <f t="shared" si="147"/>
        <v/>
      </c>
    </row>
    <row r="194" spans="31:38" x14ac:dyDescent="0.25">
      <c r="AE194" t="s">
        <v>199</v>
      </c>
      <c r="AF194" s="4">
        <f t="shared" si="141"/>
        <v>521.77935869371504</v>
      </c>
      <c r="AG194">
        <f t="shared" si="142"/>
        <v>4.0354897792150268E+226</v>
      </c>
      <c r="AH194">
        <f t="shared" si="143"/>
        <v>4.0354938147068137E+226</v>
      </c>
      <c r="AI194">
        <f t="shared" si="144"/>
        <v>4.0354857437272754E+226</v>
      </c>
      <c r="AJ194">
        <f t="shared" si="145"/>
        <v>4.0354897691492286E+226</v>
      </c>
      <c r="AK194">
        <f t="shared" si="146"/>
        <v>520.77935869122075</v>
      </c>
      <c r="AL194" t="str">
        <f t="shared" si="147"/>
        <v/>
      </c>
    </row>
    <row r="195" spans="31:38" x14ac:dyDescent="0.25">
      <c r="AE195" t="s">
        <v>200</v>
      </c>
      <c r="AF195" s="4">
        <f t="shared" si="141"/>
        <v>520.77935869122075</v>
      </c>
      <c r="AG195">
        <f t="shared" si="142"/>
        <v>1.484573721127735E+226</v>
      </c>
      <c r="AH195">
        <f t="shared" si="143"/>
        <v>1.4845752057021945E+226</v>
      </c>
      <c r="AI195">
        <f t="shared" si="144"/>
        <v>1.4845722365547599E+226</v>
      </c>
      <c r="AJ195">
        <f t="shared" si="145"/>
        <v>1.484573717298693E+226</v>
      </c>
      <c r="AK195">
        <f t="shared" si="146"/>
        <v>519.77935868864154</v>
      </c>
      <c r="AL195" t="str">
        <f t="shared" si="147"/>
        <v/>
      </c>
    </row>
    <row r="196" spans="31:38" x14ac:dyDescent="0.25">
      <c r="AE196" t="s">
        <v>201</v>
      </c>
      <c r="AF196" s="4">
        <f t="shared" si="141"/>
        <v>519.77935868864154</v>
      </c>
      <c r="AG196">
        <f t="shared" si="142"/>
        <v>5.461441494976575E+225</v>
      </c>
      <c r="AH196">
        <f t="shared" si="143"/>
        <v>5.461446956420787E+225</v>
      </c>
      <c r="AI196">
        <f t="shared" si="144"/>
        <v>5.461436033537825E+225</v>
      </c>
      <c r="AJ196">
        <f t="shared" si="145"/>
        <v>5.4614414810164919E+225</v>
      </c>
      <c r="AK196">
        <f t="shared" si="146"/>
        <v>518.7793586860854</v>
      </c>
      <c r="AL196" t="str">
        <f t="shared" si="147"/>
        <v/>
      </c>
    </row>
    <row r="197" spans="31:38" x14ac:dyDescent="0.25">
      <c r="AE197" t="s">
        <v>202</v>
      </c>
      <c r="AF197" s="4">
        <f t="shared" si="141"/>
        <v>518.7793586860854</v>
      </c>
      <c r="AG197">
        <f t="shared" si="142"/>
        <v>2.0091520400268454E+225</v>
      </c>
      <c r="AH197">
        <f t="shared" si="143"/>
        <v>2.0091540491798849E+225</v>
      </c>
      <c r="AI197">
        <f t="shared" si="144"/>
        <v>2.009150030875815E+225</v>
      </c>
      <c r="AJ197">
        <f t="shared" si="145"/>
        <v>2.0091520349575203E+225</v>
      </c>
      <c r="AK197">
        <f t="shared" si="146"/>
        <v>517.77935868356224</v>
      </c>
      <c r="AL197" t="str">
        <f t="shared" si="147"/>
        <v/>
      </c>
    </row>
    <row r="198" spans="31:38" x14ac:dyDescent="0.25">
      <c r="AE198" t="s">
        <v>203</v>
      </c>
      <c r="AF198" s="4">
        <f t="shared" si="141"/>
        <v>517.77935868356224</v>
      </c>
      <c r="AG198">
        <f t="shared" si="142"/>
        <v>7.3912572784860255E+224</v>
      </c>
      <c r="AH198">
        <f t="shared" si="143"/>
        <v>7.3912646697469812E+224</v>
      </c>
      <c r="AI198">
        <f t="shared" si="144"/>
        <v>7.3912498872324619E+224</v>
      </c>
      <c r="AJ198">
        <f t="shared" si="145"/>
        <v>7.3912572596429044E+224</v>
      </c>
      <c r="AK198">
        <f t="shared" si="146"/>
        <v>516.77935868101281</v>
      </c>
      <c r="AL198" t="str">
        <f t="shared" si="147"/>
        <v/>
      </c>
    </row>
    <row r="199" spans="31:38" x14ac:dyDescent="0.25">
      <c r="AE199" t="s">
        <v>210</v>
      </c>
      <c r="AF199" s="4">
        <f t="shared" si="141"/>
        <v>516.77935868101281</v>
      </c>
      <c r="AG199">
        <f t="shared" si="142"/>
        <v>2.7190915902316685E+224</v>
      </c>
      <c r="AH199">
        <f t="shared" si="143"/>
        <v>2.7190943093246114E+224</v>
      </c>
      <c r="AI199">
        <f t="shared" si="144"/>
        <v>2.7190888711414444E+224</v>
      </c>
      <c r="AJ199">
        <f t="shared" si="145"/>
        <v>2.7190915834830354E+224</v>
      </c>
      <c r="AK199">
        <f t="shared" si="146"/>
        <v>515.77935867853091</v>
      </c>
      <c r="AL199" t="str">
        <f t="shared" si="147"/>
        <v/>
      </c>
    </row>
    <row r="200" spans="31:38" x14ac:dyDescent="0.25">
      <c r="AE200" t="s">
        <v>211</v>
      </c>
      <c r="AF200" s="4">
        <f t="shared" si="141"/>
        <v>515.77935867853091</v>
      </c>
      <c r="AG200">
        <f t="shared" si="142"/>
        <v>1.0002978922257578E+224</v>
      </c>
      <c r="AH200">
        <f t="shared" si="143"/>
        <v>1.0002988925241477E+224</v>
      </c>
      <c r="AI200">
        <f t="shared" si="144"/>
        <v>1.0002968919283684E+224</v>
      </c>
      <c r="AJ200">
        <f t="shared" si="145"/>
        <v>1.0002978896707649E+224</v>
      </c>
      <c r="AK200">
        <f t="shared" si="146"/>
        <v>514.77935867597671</v>
      </c>
      <c r="AL200" t="str">
        <f t="shared" si="147"/>
        <v/>
      </c>
    </row>
    <row r="201" spans="31:38" x14ac:dyDescent="0.25">
      <c r="AE201" t="s">
        <v>212</v>
      </c>
      <c r="AF201" s="4">
        <f t="shared" si="141"/>
        <v>514.77935867597671</v>
      </c>
      <c r="AG201">
        <f t="shared" si="142"/>
        <v>3.679890286570651E+223</v>
      </c>
      <c r="AH201">
        <f t="shared" si="143"/>
        <v>3.6798939664627678E+223</v>
      </c>
      <c r="AI201">
        <f t="shared" si="144"/>
        <v>3.6798866066822131E+223</v>
      </c>
      <c r="AJ201">
        <f t="shared" si="145"/>
        <v>3.6798902773142881E+223</v>
      </c>
      <c r="AK201">
        <f t="shared" si="146"/>
        <v>513.77935867346127</v>
      </c>
      <c r="AL201" t="str">
        <f t="shared" si="147"/>
        <v/>
      </c>
    </row>
    <row r="202" spans="31:38" x14ac:dyDescent="0.25">
      <c r="AE202" t="s">
        <v>213</v>
      </c>
      <c r="AF202" s="4">
        <f t="shared" si="141"/>
        <v>513.77935867346127</v>
      </c>
      <c r="AG202">
        <f t="shared" si="142"/>
        <v>1.3537559787905446E+223</v>
      </c>
      <c r="AH202">
        <f t="shared" si="143"/>
        <v>1.3537573325471969E+223</v>
      </c>
      <c r="AI202">
        <f t="shared" si="144"/>
        <v>1.3537546250352461E+223</v>
      </c>
      <c r="AJ202">
        <f t="shared" si="145"/>
        <v>1.353755975385448E+223</v>
      </c>
      <c r="AK202">
        <f t="shared" si="146"/>
        <v>512.77935867094595</v>
      </c>
      <c r="AL202" t="str">
        <f t="shared" si="147"/>
        <v/>
      </c>
    </row>
    <row r="203" spans="31:38" x14ac:dyDescent="0.25">
      <c r="AE203" t="s">
        <v>214</v>
      </c>
      <c r="AF203" s="4">
        <f t="shared" si="141"/>
        <v>512.77935867094595</v>
      </c>
      <c r="AG203">
        <f t="shared" si="142"/>
        <v>4.9801899170728669E+222</v>
      </c>
      <c r="AH203">
        <f t="shared" si="143"/>
        <v>4.9801948972652617E+222</v>
      </c>
      <c r="AI203">
        <f t="shared" si="144"/>
        <v>4.9801849368854523E+222</v>
      </c>
      <c r="AJ203">
        <f t="shared" si="145"/>
        <v>4.9801899046966976E+222</v>
      </c>
      <c r="AK203">
        <f t="shared" si="146"/>
        <v>511.77935866846087</v>
      </c>
      <c r="AL203" t="str">
        <f t="shared" si="147"/>
        <v/>
      </c>
    </row>
    <row r="204" spans="31:38" x14ac:dyDescent="0.25">
      <c r="AE204" t="s">
        <v>215</v>
      </c>
      <c r="AF204" s="4">
        <f t="shared" si="141"/>
        <v>511.77935866846087</v>
      </c>
      <c r="AG204">
        <f t="shared" si="142"/>
        <v>1.8321094790674782E+222</v>
      </c>
      <c r="AH204">
        <f t="shared" si="143"/>
        <v>1.8321113111778686E+222</v>
      </c>
      <c r="AI204">
        <f t="shared" si="144"/>
        <v>1.83210764695892E+222</v>
      </c>
      <c r="AJ204">
        <f t="shared" si="145"/>
        <v>1.8321094743300006E+222</v>
      </c>
      <c r="AK204">
        <f t="shared" si="146"/>
        <v>510.77935866587507</v>
      </c>
      <c r="AL204" t="str">
        <f t="shared" si="147"/>
        <v/>
      </c>
    </row>
    <row r="205" spans="31:38" x14ac:dyDescent="0.25">
      <c r="AE205" t="s">
        <v>216</v>
      </c>
      <c r="AF205" s="4">
        <f t="shared" si="141"/>
        <v>510.77935866587507</v>
      </c>
      <c r="AG205">
        <f t="shared" si="142"/>
        <v>6.7399540958142408E+221</v>
      </c>
      <c r="AH205">
        <f t="shared" si="143"/>
        <v>6.7399608357716898E+221</v>
      </c>
      <c r="AI205">
        <f t="shared" si="144"/>
        <v>6.7399473558635316E+221</v>
      </c>
      <c r="AJ205">
        <f t="shared" si="145"/>
        <v>6.7399540791165568E+221</v>
      </c>
      <c r="AK205">
        <f t="shared" si="146"/>
        <v>509.77935866339766</v>
      </c>
      <c r="AL205" t="str">
        <f t="shared" si="147"/>
        <v/>
      </c>
    </row>
    <row r="206" spans="31:38" x14ac:dyDescent="0.25">
      <c r="AE206" t="s">
        <v>217</v>
      </c>
      <c r="AF206" s="4">
        <f t="shared" si="141"/>
        <v>509.77935866339766</v>
      </c>
      <c r="AG206">
        <f t="shared" si="142"/>
        <v>2.47949054014661E+221</v>
      </c>
      <c r="AH206">
        <f t="shared" si="143"/>
        <v>2.4794930196383837E+221</v>
      </c>
      <c r="AI206">
        <f t="shared" si="144"/>
        <v>2.4794880606573161E+221</v>
      </c>
      <c r="AJ206">
        <f t="shared" si="145"/>
        <v>2.4794905338215133E+221</v>
      </c>
      <c r="AK206">
        <f t="shared" si="146"/>
        <v>508.7793586608467</v>
      </c>
      <c r="AL206" t="str">
        <f t="shared" si="147"/>
        <v/>
      </c>
    </row>
    <row r="207" spans="31:38" x14ac:dyDescent="0.25">
      <c r="AE207" t="s">
        <v>218</v>
      </c>
      <c r="AF207" s="4">
        <f t="shared" si="141"/>
        <v>508.7793586608467</v>
      </c>
      <c r="AG207">
        <f t="shared" si="142"/>
        <v>9.1215359197214336E+220</v>
      </c>
      <c r="AH207">
        <f t="shared" si="143"/>
        <v>9.1215450412618917E+220</v>
      </c>
      <c r="AI207">
        <f t="shared" si="144"/>
        <v>9.1215267981900974E+220</v>
      </c>
      <c r="AJ207">
        <f t="shared" si="145"/>
        <v>9.1215358971170217E+220</v>
      </c>
      <c r="AK207">
        <f t="shared" si="146"/>
        <v>507.77935865836855</v>
      </c>
      <c r="AL207" t="str">
        <f t="shared" si="147"/>
        <v/>
      </c>
    </row>
    <row r="208" spans="31:38" x14ac:dyDescent="0.25">
      <c r="AE208" t="s">
        <v>219</v>
      </c>
      <c r="AF208" s="4">
        <f t="shared" ref="AF208:AF271" si="148">AK207</f>
        <v>507.77935865836855</v>
      </c>
      <c r="AG208">
        <f t="shared" ref="AG208:AG271" si="149">EXP(AF208)-ATAN(AF208)-1.5</f>
        <v>3.3556255284566301E+220</v>
      </c>
      <c r="AH208">
        <f t="shared" ref="AH208:AH271" si="150">EXP(AF208+E$6)-ATAN(AF208+E$6)-1.5</f>
        <v>3.355628884083828E+220</v>
      </c>
      <c r="AI208">
        <f t="shared" ref="AI208:AI271" si="151">EXP(AF208-E$6)-ATAN(AF208-E$6)-1.5</f>
        <v>3.3556221728327881E+220</v>
      </c>
      <c r="AJ208">
        <f t="shared" ref="AJ208:AJ271" si="152">(AH208-AI208)/(E$6*2)</f>
        <v>3.3556255199279487E+220</v>
      </c>
      <c r="AK208">
        <f t="shared" ref="AK208:AK271" si="153">AF208-AG208/AJ208</f>
        <v>506.77935865582697</v>
      </c>
      <c r="AL208" t="str">
        <f t="shared" ref="AL208:AL271" si="154">IF(AF209=AF208,"STOP","")</f>
        <v/>
      </c>
    </row>
    <row r="209" spans="31:38" x14ac:dyDescent="0.25">
      <c r="AE209" t="s">
        <v>220</v>
      </c>
      <c r="AF209" s="4">
        <f t="shared" si="148"/>
        <v>506.77935865582697</v>
      </c>
      <c r="AG209">
        <f t="shared" si="149"/>
        <v>1.234465641051754E+220</v>
      </c>
      <c r="AH209">
        <f t="shared" si="150"/>
        <v>1.2344668755180094E+220</v>
      </c>
      <c r="AI209">
        <f t="shared" si="151"/>
        <v>1.2344644065867335E+220</v>
      </c>
      <c r="AJ209">
        <f t="shared" si="152"/>
        <v>1.2344656379370899E+220</v>
      </c>
      <c r="AK209">
        <f t="shared" si="153"/>
        <v>505.77935865330386</v>
      </c>
      <c r="AL209" t="str">
        <f t="shared" si="154"/>
        <v/>
      </c>
    </row>
    <row r="210" spans="31:38" x14ac:dyDescent="0.25">
      <c r="AE210" t="s">
        <v>221</v>
      </c>
      <c r="AF210" s="4">
        <f t="shared" si="148"/>
        <v>505.77935865330386</v>
      </c>
      <c r="AG210">
        <f t="shared" si="149"/>
        <v>4.5413452902963478E+219</v>
      </c>
      <c r="AH210">
        <f t="shared" si="150"/>
        <v>4.5413498316438969E+219</v>
      </c>
      <c r="AI210">
        <f t="shared" si="151"/>
        <v>4.5413407489533399E+219</v>
      </c>
      <c r="AJ210">
        <f t="shared" si="152"/>
        <v>4.5413452785194662E+219</v>
      </c>
      <c r="AK210">
        <f t="shared" si="153"/>
        <v>504.77935865071061</v>
      </c>
      <c r="AL210" t="str">
        <f t="shared" si="154"/>
        <v/>
      </c>
    </row>
    <row r="211" spans="31:38" x14ac:dyDescent="0.25">
      <c r="AE211" t="s">
        <v>222</v>
      </c>
      <c r="AF211" s="4">
        <f t="shared" si="148"/>
        <v>504.77935865071061</v>
      </c>
      <c r="AG211">
        <f t="shared" si="149"/>
        <v>1.6706675632283172E+219</v>
      </c>
      <c r="AH211">
        <f t="shared" si="150"/>
        <v>1.6706692338967115E+219</v>
      </c>
      <c r="AI211">
        <f t="shared" si="151"/>
        <v>1.6706658925615934E+219</v>
      </c>
      <c r="AJ211">
        <f t="shared" si="152"/>
        <v>1.6706675590348847E+219</v>
      </c>
      <c r="AK211">
        <f t="shared" si="153"/>
        <v>503.77935864820057</v>
      </c>
      <c r="AL211" t="str">
        <f t="shared" si="154"/>
        <v/>
      </c>
    </row>
    <row r="212" spans="31:38" x14ac:dyDescent="0.25">
      <c r="AE212" t="s">
        <v>223</v>
      </c>
      <c r="AF212" s="4">
        <f t="shared" si="148"/>
        <v>503.77935864820057</v>
      </c>
      <c r="AG212">
        <f t="shared" si="149"/>
        <v>6.1460424800101057E+218</v>
      </c>
      <c r="AH212">
        <f t="shared" si="150"/>
        <v>6.1460486260556429E+218</v>
      </c>
      <c r="AI212">
        <f t="shared" si="151"/>
        <v>6.1460363339707138E+218</v>
      </c>
      <c r="AJ212">
        <f t="shared" si="152"/>
        <v>6.1460424645480927E+218</v>
      </c>
      <c r="AK212">
        <f t="shared" si="153"/>
        <v>502.77935864568479</v>
      </c>
      <c r="AL212" t="str">
        <f t="shared" si="154"/>
        <v/>
      </c>
    </row>
    <row r="213" spans="31:38" x14ac:dyDescent="0.25">
      <c r="AE213" t="s">
        <v>224</v>
      </c>
      <c r="AF213" s="4">
        <f t="shared" si="148"/>
        <v>502.77935864568479</v>
      </c>
      <c r="AG213">
        <f t="shared" si="149"/>
        <v>2.2610026672738868E+218</v>
      </c>
      <c r="AH213">
        <f t="shared" si="150"/>
        <v>2.2610049282776786E+218</v>
      </c>
      <c r="AI213">
        <f t="shared" si="151"/>
        <v>2.2610004062723555E+218</v>
      </c>
      <c r="AJ213">
        <f t="shared" si="152"/>
        <v>2.2610026615380285E+218</v>
      </c>
      <c r="AK213">
        <f t="shared" si="153"/>
        <v>501.77935864314793</v>
      </c>
      <c r="AL213" t="str">
        <f t="shared" si="154"/>
        <v/>
      </c>
    </row>
    <row r="214" spans="31:38" x14ac:dyDescent="0.25">
      <c r="AE214" t="s">
        <v>225</v>
      </c>
      <c r="AF214" s="4">
        <f t="shared" si="148"/>
        <v>501.77935864314793</v>
      </c>
      <c r="AG214">
        <f t="shared" si="149"/>
        <v>8.3177639561375363E+217</v>
      </c>
      <c r="AH214">
        <f t="shared" si="150"/>
        <v>8.3177722739056304E+217</v>
      </c>
      <c r="AI214">
        <f t="shared" si="151"/>
        <v>8.3177556383777595E+217</v>
      </c>
      <c r="AJ214">
        <f t="shared" si="152"/>
        <v>8.3177639354810783E+217</v>
      </c>
      <c r="AK214">
        <f t="shared" si="153"/>
        <v>500.7793586406645</v>
      </c>
      <c r="AL214" t="str">
        <f t="shared" si="154"/>
        <v/>
      </c>
    </row>
    <row r="215" spans="31:38" x14ac:dyDescent="0.25">
      <c r="AE215" t="s">
        <v>226</v>
      </c>
      <c r="AF215" s="4">
        <f t="shared" si="148"/>
        <v>500.7793586406645</v>
      </c>
      <c r="AG215">
        <f t="shared" si="149"/>
        <v>3.0599343483807028E+217</v>
      </c>
      <c r="AH215">
        <f t="shared" si="150"/>
        <v>3.0599374083165732E+217</v>
      </c>
      <c r="AI215">
        <f t="shared" si="151"/>
        <v>3.0599312884478922E+217</v>
      </c>
      <c r="AJ215">
        <f t="shared" si="152"/>
        <v>3.059934340505351E+217</v>
      </c>
      <c r="AK215">
        <f t="shared" si="153"/>
        <v>499.7793586380908</v>
      </c>
      <c r="AL215" t="str">
        <f t="shared" si="154"/>
        <v/>
      </c>
    </row>
    <row r="216" spans="31:38" x14ac:dyDescent="0.25">
      <c r="AE216" t="s">
        <v>227</v>
      </c>
      <c r="AF216" s="4">
        <f t="shared" si="148"/>
        <v>499.7793586380908</v>
      </c>
      <c r="AG216">
        <f t="shared" si="149"/>
        <v>1.1256869352064145E+217</v>
      </c>
      <c r="AH216">
        <f t="shared" si="150"/>
        <v>1.1256880608939097E+217</v>
      </c>
      <c r="AI216">
        <f t="shared" si="151"/>
        <v>1.125685809520045E+217</v>
      </c>
      <c r="AJ216">
        <f t="shared" si="152"/>
        <v>1.1256869323262228E+217</v>
      </c>
      <c r="AK216">
        <f t="shared" si="153"/>
        <v>498.77935863553216</v>
      </c>
      <c r="AL216" t="str">
        <f t="shared" si="154"/>
        <v/>
      </c>
    </row>
    <row r="217" spans="31:38" x14ac:dyDescent="0.25">
      <c r="AE217" t="s">
        <v>228</v>
      </c>
      <c r="AF217" s="4">
        <f t="shared" si="148"/>
        <v>498.77935863553216</v>
      </c>
      <c r="AG217">
        <f t="shared" si="149"/>
        <v>4.1411707959815453E+216</v>
      </c>
      <c r="AH217">
        <f t="shared" si="150"/>
        <v>4.1411749371544017E+216</v>
      </c>
      <c r="AI217">
        <f t="shared" si="151"/>
        <v>4.1411666548128304E+216</v>
      </c>
      <c r="AJ217">
        <f t="shared" si="152"/>
        <v>4.1411707856155952E+216</v>
      </c>
      <c r="AK217">
        <f t="shared" si="153"/>
        <v>497.77935863302901</v>
      </c>
      <c r="AL217" t="str">
        <f t="shared" si="154"/>
        <v/>
      </c>
    </row>
    <row r="218" spans="31:38" x14ac:dyDescent="0.25">
      <c r="AE218" t="s">
        <v>229</v>
      </c>
      <c r="AF218" s="4">
        <f t="shared" si="148"/>
        <v>497.77935863302901</v>
      </c>
      <c r="AG218">
        <f t="shared" si="149"/>
        <v>1.5234515944077496E+216</v>
      </c>
      <c r="AH218">
        <f t="shared" si="150"/>
        <v>1.5234531178601019E+216</v>
      </c>
      <c r="AI218">
        <f t="shared" si="151"/>
        <v>1.5234500709569208E+216</v>
      </c>
      <c r="AJ218">
        <f t="shared" si="152"/>
        <v>1.5234515905392974E+216</v>
      </c>
      <c r="AK218">
        <f t="shared" si="153"/>
        <v>496.77935863048975</v>
      </c>
      <c r="AL218" t="str">
        <f t="shared" si="154"/>
        <v/>
      </c>
    </row>
    <row r="219" spans="31:38" x14ac:dyDescent="0.25">
      <c r="AE219" t="s">
        <v>230</v>
      </c>
      <c r="AF219" s="4">
        <f t="shared" si="148"/>
        <v>496.77935863048975</v>
      </c>
      <c r="AG219">
        <f t="shared" si="149"/>
        <v>5.6044651977935058E+215</v>
      </c>
      <c r="AH219">
        <f t="shared" si="150"/>
        <v>5.6044708022614917E+215</v>
      </c>
      <c r="AI219">
        <f t="shared" si="151"/>
        <v>5.6044595933311246E+215</v>
      </c>
      <c r="AJ219">
        <f t="shared" si="152"/>
        <v>5.6044651835411701E+215</v>
      </c>
      <c r="AK219">
        <f t="shared" si="153"/>
        <v>495.77935862794675</v>
      </c>
      <c r="AL219" t="str">
        <f t="shared" si="154"/>
        <v/>
      </c>
    </row>
    <row r="220" spans="31:38" x14ac:dyDescent="0.25">
      <c r="AE220" t="s">
        <v>231</v>
      </c>
      <c r="AF220" s="4">
        <f t="shared" si="148"/>
        <v>495.77935862794675</v>
      </c>
      <c r="AG220">
        <f t="shared" si="149"/>
        <v>2.0617675197859889E+215</v>
      </c>
      <c r="AH220">
        <f t="shared" si="150"/>
        <v>2.0617695815545341E+215</v>
      </c>
      <c r="AI220">
        <f t="shared" si="151"/>
        <v>2.0617654580195051E+215</v>
      </c>
      <c r="AJ220">
        <f t="shared" si="152"/>
        <v>2.0617675145278449E+215</v>
      </c>
      <c r="AK220">
        <f t="shared" si="153"/>
        <v>494.77935862539641</v>
      </c>
      <c r="AL220" t="str">
        <f t="shared" si="154"/>
        <v/>
      </c>
    </row>
    <row r="221" spans="31:38" x14ac:dyDescent="0.25">
      <c r="AE221" t="s">
        <v>232</v>
      </c>
      <c r="AF221" s="4">
        <f t="shared" si="148"/>
        <v>494.77935862539641</v>
      </c>
      <c r="AG221">
        <f t="shared" si="149"/>
        <v>7.5848188106991596E+214</v>
      </c>
      <c r="AH221">
        <f t="shared" si="150"/>
        <v>7.5848263955217437E+214</v>
      </c>
      <c r="AI221">
        <f t="shared" si="151"/>
        <v>7.5848112258841602E+214</v>
      </c>
      <c r="AJ221">
        <f t="shared" si="152"/>
        <v>7.5848187917488112E+214</v>
      </c>
      <c r="AK221">
        <f t="shared" si="153"/>
        <v>493.77935862289797</v>
      </c>
      <c r="AL221" t="str">
        <f t="shared" si="154"/>
        <v/>
      </c>
    </row>
    <row r="222" spans="31:38" x14ac:dyDescent="0.25">
      <c r="AE222" t="s">
        <v>233</v>
      </c>
      <c r="AF222" s="4">
        <f t="shared" si="148"/>
        <v>493.77935862289797</v>
      </c>
      <c r="AG222">
        <f t="shared" si="149"/>
        <v>2.7902988984952597E+214</v>
      </c>
      <c r="AH222">
        <f t="shared" si="150"/>
        <v>2.7903016887955462E+214</v>
      </c>
      <c r="AI222">
        <f t="shared" si="151"/>
        <v>2.7902961081977633E+214</v>
      </c>
      <c r="AJ222">
        <f t="shared" si="152"/>
        <v>2.7902988914543411E+214</v>
      </c>
      <c r="AK222">
        <f t="shared" si="153"/>
        <v>492.77935862037464</v>
      </c>
      <c r="AL222" t="str">
        <f t="shared" si="154"/>
        <v/>
      </c>
    </row>
    <row r="223" spans="31:38" x14ac:dyDescent="0.25">
      <c r="AE223" t="s">
        <v>234</v>
      </c>
      <c r="AF223" s="4">
        <f t="shared" si="148"/>
        <v>492.77935862037464</v>
      </c>
      <c r="AG223">
        <f t="shared" si="149"/>
        <v>1.0264935968895386E+214</v>
      </c>
      <c r="AH223">
        <f t="shared" si="150"/>
        <v>1.0264946233836462E+214</v>
      </c>
      <c r="AI223">
        <f t="shared" si="151"/>
        <v>1.0264925703964576E+214</v>
      </c>
      <c r="AJ223">
        <f t="shared" si="152"/>
        <v>1.0264935942687223E+214</v>
      </c>
      <c r="AK223">
        <f t="shared" si="153"/>
        <v>491.77935861782146</v>
      </c>
      <c r="AL223" t="str">
        <f t="shared" si="154"/>
        <v/>
      </c>
    </row>
    <row r="224" spans="31:38" x14ac:dyDescent="0.25">
      <c r="AE224" t="s">
        <v>235</v>
      </c>
      <c r="AF224" s="4">
        <f t="shared" si="148"/>
        <v>491.77935861782146</v>
      </c>
      <c r="AG224">
        <f t="shared" si="149"/>
        <v>3.776258898256408E+213</v>
      </c>
      <c r="AH224">
        <f t="shared" si="150"/>
        <v>3.7762626745171848E+213</v>
      </c>
      <c r="AI224">
        <f t="shared" si="151"/>
        <v>3.7762551219994069E+213</v>
      </c>
      <c r="AJ224">
        <f t="shared" si="152"/>
        <v>3.7762588889376381E+213</v>
      </c>
      <c r="AK224">
        <f t="shared" si="153"/>
        <v>490.77935861535371</v>
      </c>
      <c r="AL224" t="str">
        <f t="shared" si="154"/>
        <v/>
      </c>
    </row>
    <row r="225" spans="31:38" x14ac:dyDescent="0.25">
      <c r="AE225" t="s">
        <v>236</v>
      </c>
      <c r="AF225" s="4">
        <f t="shared" si="148"/>
        <v>490.77935861535371</v>
      </c>
      <c r="AG225">
        <f t="shared" si="149"/>
        <v>1.3892080097810448E+213</v>
      </c>
      <c r="AH225">
        <f t="shared" si="150"/>
        <v>1.3892093989897458E+213</v>
      </c>
      <c r="AI225">
        <f t="shared" si="151"/>
        <v>1.3892066205737332E+213</v>
      </c>
      <c r="AJ225">
        <f t="shared" si="152"/>
        <v>1.3892080062836918E+213</v>
      </c>
      <c r="AK225">
        <f t="shared" si="153"/>
        <v>489.77935861283618</v>
      </c>
      <c r="AL225" t="str">
        <f t="shared" si="154"/>
        <v/>
      </c>
    </row>
    <row r="226" spans="31:38" x14ac:dyDescent="0.25">
      <c r="AE226" t="s">
        <v>237</v>
      </c>
      <c r="AF226" s="4">
        <f t="shared" si="148"/>
        <v>489.77935861283618</v>
      </c>
      <c r="AG226">
        <f t="shared" si="149"/>
        <v>5.1106106502252663E+212</v>
      </c>
      <c r="AH226">
        <f t="shared" si="150"/>
        <v>5.1106157608384594E+212</v>
      </c>
      <c r="AI226">
        <f t="shared" si="151"/>
        <v>5.1106055396171839E+212</v>
      </c>
      <c r="AJ226">
        <f t="shared" si="152"/>
        <v>5.1106106377445949E+212</v>
      </c>
      <c r="AK226">
        <f t="shared" si="153"/>
        <v>488.77935861039407</v>
      </c>
      <c r="AL226" t="str">
        <f t="shared" si="154"/>
        <v/>
      </c>
    </row>
    <row r="227" spans="31:38" x14ac:dyDescent="0.25">
      <c r="AE227" t="s">
        <v>238</v>
      </c>
      <c r="AF227" s="4">
        <f t="shared" si="148"/>
        <v>488.77935861039407</v>
      </c>
      <c r="AG227">
        <f t="shared" si="149"/>
        <v>1.880088585458315E+212</v>
      </c>
      <c r="AH227">
        <f t="shared" si="150"/>
        <v>1.8800904655478358E+212</v>
      </c>
      <c r="AI227">
        <f t="shared" si="151"/>
        <v>1.8800867053706743E+212</v>
      </c>
      <c r="AJ227">
        <f t="shared" si="152"/>
        <v>1.8800885807636007E+212</v>
      </c>
      <c r="AK227">
        <f t="shared" si="153"/>
        <v>487.779358607897</v>
      </c>
      <c r="AL227" t="str">
        <f t="shared" si="154"/>
        <v/>
      </c>
    </row>
    <row r="228" spans="31:38" x14ac:dyDescent="0.25">
      <c r="AE228" t="s">
        <v>239</v>
      </c>
      <c r="AF228" s="4">
        <f t="shared" si="148"/>
        <v>487.779358607897</v>
      </c>
      <c r="AG228">
        <f t="shared" si="149"/>
        <v>6.9164593644412092E+211</v>
      </c>
      <c r="AH228">
        <f t="shared" si="150"/>
        <v>6.9164662809040148E+211</v>
      </c>
      <c r="AI228">
        <f t="shared" si="151"/>
        <v>6.916452447985321E+211</v>
      </c>
      <c r="AJ228">
        <f t="shared" si="152"/>
        <v>6.9164593468945372E+211</v>
      </c>
      <c r="AK228">
        <f t="shared" si="153"/>
        <v>486.77935860536007</v>
      </c>
      <c r="AL228" t="str">
        <f t="shared" si="154"/>
        <v/>
      </c>
    </row>
    <row r="229" spans="31:38" x14ac:dyDescent="0.25">
      <c r="AE229" t="s">
        <v>240</v>
      </c>
      <c r="AF229" s="4">
        <f t="shared" si="148"/>
        <v>486.77935860536007</v>
      </c>
      <c r="AG229">
        <f t="shared" si="149"/>
        <v>2.5444231994206187E+211</v>
      </c>
      <c r="AH229">
        <f t="shared" si="150"/>
        <v>2.5444257438450838E+211</v>
      </c>
      <c r="AI229">
        <f t="shared" si="151"/>
        <v>2.544420654998698E+211</v>
      </c>
      <c r="AJ229">
        <f t="shared" si="152"/>
        <v>2.5444231929218854E+211</v>
      </c>
      <c r="AK229">
        <f t="shared" si="153"/>
        <v>485.77935860280598</v>
      </c>
      <c r="AL229" t="str">
        <f t="shared" si="154"/>
        <v/>
      </c>
    </row>
    <row r="230" spans="31:38" x14ac:dyDescent="0.25">
      <c r="AE230" t="s">
        <v>241</v>
      </c>
      <c r="AF230" s="4">
        <f t="shared" si="148"/>
        <v>485.77935860280598</v>
      </c>
      <c r="AG230">
        <f t="shared" si="149"/>
        <v>9.3604098231577907E+210</v>
      </c>
      <c r="AH230">
        <f t="shared" si="150"/>
        <v>9.3604191835722696E+210</v>
      </c>
      <c r="AI230">
        <f t="shared" si="151"/>
        <v>9.3604004627526709E+210</v>
      </c>
      <c r="AJ230">
        <f t="shared" si="152"/>
        <v>9.3604097993658773E+210</v>
      </c>
      <c r="AK230">
        <f t="shared" si="153"/>
        <v>484.77935860026423</v>
      </c>
      <c r="AL230" t="str">
        <f t="shared" si="154"/>
        <v/>
      </c>
    </row>
    <row r="231" spans="31:38" x14ac:dyDescent="0.25">
      <c r="AE231" t="s">
        <v>242</v>
      </c>
      <c r="AF231" s="4">
        <f t="shared" si="148"/>
        <v>484.77935860026423</v>
      </c>
      <c r="AG231">
        <f t="shared" si="149"/>
        <v>3.4435023261264329E+210</v>
      </c>
      <c r="AH231">
        <f t="shared" si="150"/>
        <v>3.4435057696304723E+210</v>
      </c>
      <c r="AI231">
        <f t="shared" si="151"/>
        <v>3.4434988826258374E+210</v>
      </c>
      <c r="AJ231">
        <f t="shared" si="152"/>
        <v>3.4435023174869504E+210</v>
      </c>
      <c r="AK231">
        <f t="shared" si="153"/>
        <v>483.77935859775533</v>
      </c>
      <c r="AL231" t="str">
        <f t="shared" si="154"/>
        <v/>
      </c>
    </row>
    <row r="232" spans="31:38" x14ac:dyDescent="0.25">
      <c r="AE232" t="s">
        <v>243</v>
      </c>
      <c r="AF232" s="4">
        <f t="shared" si="148"/>
        <v>483.77935859775533</v>
      </c>
      <c r="AG232">
        <f t="shared" si="149"/>
        <v>1.2667937082296978E+210</v>
      </c>
      <c r="AH232">
        <f t="shared" si="150"/>
        <v>1.2667949750240363E+210</v>
      </c>
      <c r="AI232">
        <f t="shared" si="151"/>
        <v>1.2667924414366261E+210</v>
      </c>
      <c r="AJ232">
        <f t="shared" si="152"/>
        <v>1.266793705089427E+210</v>
      </c>
      <c r="AK232">
        <f t="shared" si="153"/>
        <v>482.77935859527645</v>
      </c>
      <c r="AL232" t="str">
        <f t="shared" si="154"/>
        <v/>
      </c>
    </row>
    <row r="233" spans="31:38" x14ac:dyDescent="0.25">
      <c r="AE233" t="s">
        <v>244</v>
      </c>
      <c r="AF233" s="4">
        <f t="shared" si="148"/>
        <v>482.77935859527645</v>
      </c>
      <c r="AG233">
        <f t="shared" si="149"/>
        <v>4.660273603078123E+209</v>
      </c>
      <c r="AH233">
        <f t="shared" si="150"/>
        <v>4.6602782633540441E+209</v>
      </c>
      <c r="AI233">
        <f t="shared" si="151"/>
        <v>4.6602689428068614E+209</v>
      </c>
      <c r="AJ233">
        <f t="shared" si="152"/>
        <v>4.6602735913235853E+209</v>
      </c>
      <c r="AK233">
        <f t="shared" si="153"/>
        <v>481.77935859275414</v>
      </c>
      <c r="AL233" t="str">
        <f t="shared" si="154"/>
        <v/>
      </c>
    </row>
    <row r="234" spans="31:38" x14ac:dyDescent="0.25">
      <c r="AE234" t="s">
        <v>245</v>
      </c>
      <c r="AF234" s="4">
        <f t="shared" si="148"/>
        <v>481.77935859275414</v>
      </c>
      <c r="AG234">
        <f t="shared" si="149"/>
        <v>1.714418844482103E+209</v>
      </c>
      <c r="AH234">
        <f t="shared" si="150"/>
        <v>1.7144205589018004E+209</v>
      </c>
      <c r="AI234">
        <f t="shared" si="151"/>
        <v>1.71441713006412E+209</v>
      </c>
      <c r="AJ234">
        <f t="shared" si="152"/>
        <v>1.7144188401696582E+209</v>
      </c>
      <c r="AK234">
        <f t="shared" si="153"/>
        <v>480.77935859023876</v>
      </c>
      <c r="AL234" t="str">
        <f t="shared" si="154"/>
        <v/>
      </c>
    </row>
    <row r="235" spans="31:38" x14ac:dyDescent="0.25">
      <c r="AE235" t="s">
        <v>246</v>
      </c>
      <c r="AF235" s="4">
        <f t="shared" si="148"/>
        <v>480.77935859023876</v>
      </c>
      <c r="AG235">
        <f t="shared" si="149"/>
        <v>6.3069944485541831E+208</v>
      </c>
      <c r="AH235">
        <f t="shared" si="150"/>
        <v>6.3070007555517695E+208</v>
      </c>
      <c r="AI235">
        <f t="shared" si="151"/>
        <v>6.3069881415629038E+208</v>
      </c>
      <c r="AJ235">
        <f t="shared" si="152"/>
        <v>6.3069944328205355E+208</v>
      </c>
      <c r="AK235">
        <f t="shared" si="153"/>
        <v>479.77935858774413</v>
      </c>
      <c r="AL235" t="str">
        <f t="shared" si="154"/>
        <v/>
      </c>
    </row>
    <row r="236" spans="31:38" x14ac:dyDescent="0.25">
      <c r="AE236" t="s">
        <v>247</v>
      </c>
      <c r="AF236" s="4">
        <f t="shared" si="148"/>
        <v>479.77935858774413</v>
      </c>
      <c r="AG236">
        <f t="shared" si="149"/>
        <v>2.3202135874174269E+208</v>
      </c>
      <c r="AH236">
        <f t="shared" si="150"/>
        <v>2.3202159076321684E+208</v>
      </c>
      <c r="AI236">
        <f t="shared" si="151"/>
        <v>2.3202112672050055E+208</v>
      </c>
      <c r="AJ236">
        <f t="shared" si="152"/>
        <v>2.3202135814416143E+208</v>
      </c>
      <c r="AK236">
        <f t="shared" si="153"/>
        <v>478.77935858516861</v>
      </c>
      <c r="AL236" t="str">
        <f t="shared" si="154"/>
        <v/>
      </c>
    </row>
    <row r="237" spans="31:38" x14ac:dyDescent="0.25">
      <c r="AE237" t="s">
        <v>248</v>
      </c>
      <c r="AF237" s="4">
        <f t="shared" si="148"/>
        <v>478.77935858516861</v>
      </c>
      <c r="AG237">
        <f t="shared" si="149"/>
        <v>8.5355887573915377E+207</v>
      </c>
      <c r="AH237">
        <f t="shared" si="150"/>
        <v>8.5355972929845414E+207</v>
      </c>
      <c r="AI237">
        <f t="shared" si="151"/>
        <v>8.5355802218070691E+207</v>
      </c>
      <c r="AJ237">
        <f t="shared" si="152"/>
        <v>8.5355887361799346E+207</v>
      </c>
      <c r="AK237">
        <f t="shared" si="153"/>
        <v>477.77935858268353</v>
      </c>
      <c r="AL237" t="str">
        <f t="shared" si="154"/>
        <v/>
      </c>
    </row>
    <row r="238" spans="31:38" x14ac:dyDescent="0.25">
      <c r="AE238" t="s">
        <v>249</v>
      </c>
      <c r="AF238" s="4">
        <f t="shared" si="148"/>
        <v>477.77935858268353</v>
      </c>
      <c r="AG238">
        <f t="shared" si="149"/>
        <v>3.1400676143351235E+207</v>
      </c>
      <c r="AH238">
        <f t="shared" si="150"/>
        <v>3.1400707544043E+207</v>
      </c>
      <c r="AI238">
        <f t="shared" si="151"/>
        <v>3.1400644742690872E+207</v>
      </c>
      <c r="AJ238">
        <f t="shared" si="152"/>
        <v>3.1400676064109689E+207</v>
      </c>
      <c r="AK238">
        <f t="shared" si="153"/>
        <v>476.77935858015996</v>
      </c>
      <c r="AL238" t="str">
        <f t="shared" si="154"/>
        <v/>
      </c>
    </row>
    <row r="239" spans="31:38" x14ac:dyDescent="0.25">
      <c r="AE239" t="s">
        <v>250</v>
      </c>
      <c r="AF239" s="4">
        <f t="shared" si="148"/>
        <v>476.77935858015996</v>
      </c>
      <c r="AG239">
        <f t="shared" si="149"/>
        <v>1.1551663162870136E+207</v>
      </c>
      <c r="AH239">
        <f t="shared" si="150"/>
        <v>1.1551674714539046E+207</v>
      </c>
      <c r="AI239">
        <f t="shared" si="151"/>
        <v>1.1551651611212778E+207</v>
      </c>
      <c r="AJ239">
        <f t="shared" si="152"/>
        <v>1.155166313373907E+207</v>
      </c>
      <c r="AK239">
        <f t="shared" si="153"/>
        <v>475.77935857763816</v>
      </c>
      <c r="AL239" t="str">
        <f t="shared" si="154"/>
        <v/>
      </c>
    </row>
    <row r="240" spans="31:38" x14ac:dyDescent="0.25">
      <c r="AE240" t="s">
        <v>251</v>
      </c>
      <c r="AF240" s="4">
        <f t="shared" si="148"/>
        <v>475.77935857763816</v>
      </c>
      <c r="AG240">
        <f t="shared" si="149"/>
        <v>4.2496193782407053E+206</v>
      </c>
      <c r="AH240">
        <f t="shared" si="150"/>
        <v>4.2496236278621978E+206</v>
      </c>
      <c r="AI240">
        <f t="shared" si="151"/>
        <v>4.2496151286234629E+206</v>
      </c>
      <c r="AJ240">
        <f t="shared" si="152"/>
        <v>4.2496193674823541E+206</v>
      </c>
      <c r="AK240">
        <f t="shared" si="153"/>
        <v>474.77935857510658</v>
      </c>
      <c r="AL240" t="str">
        <f t="shared" si="154"/>
        <v/>
      </c>
    </row>
    <row r="241" spans="31:38" x14ac:dyDescent="0.25">
      <c r="AE241" t="s">
        <v>252</v>
      </c>
      <c r="AF241" s="4">
        <f t="shared" si="148"/>
        <v>474.77935857510658</v>
      </c>
      <c r="AG241">
        <f t="shared" si="149"/>
        <v>1.5633475981007857E+206</v>
      </c>
      <c r="AH241">
        <f t="shared" si="150"/>
        <v>1.5633491614491615E+206</v>
      </c>
      <c r="AI241">
        <f t="shared" si="151"/>
        <v>1.5633460347539734E+206</v>
      </c>
      <c r="AJ241">
        <f t="shared" si="152"/>
        <v>1.563347594083011E+206</v>
      </c>
      <c r="AK241">
        <f t="shared" si="153"/>
        <v>473.77935857253658</v>
      </c>
      <c r="AL241" t="str">
        <f t="shared" si="154"/>
        <v/>
      </c>
    </row>
    <row r="242" spans="31:38" x14ac:dyDescent="0.25">
      <c r="AE242" t="s">
        <v>253</v>
      </c>
      <c r="AF242" s="4">
        <f t="shared" si="148"/>
        <v>473.77935857253658</v>
      </c>
      <c r="AG242">
        <f t="shared" si="149"/>
        <v>5.7512343926796375E+205</v>
      </c>
      <c r="AH242">
        <f t="shared" si="150"/>
        <v>5.7512401439168908E+205</v>
      </c>
      <c r="AI242">
        <f t="shared" si="151"/>
        <v>5.7512286414481345E+205</v>
      </c>
      <c r="AJ242">
        <f t="shared" si="152"/>
        <v>5.7512343781283801E+205</v>
      </c>
      <c r="AK242">
        <f t="shared" si="153"/>
        <v>472.77935857000648</v>
      </c>
      <c r="AL242" t="str">
        <f t="shared" si="154"/>
        <v/>
      </c>
    </row>
    <row r="243" spans="31:38" x14ac:dyDescent="0.25">
      <c r="AE243" t="s">
        <v>254</v>
      </c>
      <c r="AF243" s="4">
        <f t="shared" si="148"/>
        <v>472.77935857000648</v>
      </c>
      <c r="AG243">
        <f t="shared" si="149"/>
        <v>2.1157608890718768E+205</v>
      </c>
      <c r="AH243">
        <f t="shared" si="150"/>
        <v>2.1157630048338183E+205</v>
      </c>
      <c r="AI243">
        <f t="shared" si="151"/>
        <v>2.1157587733120507E+205</v>
      </c>
      <c r="AJ243">
        <f t="shared" si="152"/>
        <v>2.1157608837874264E+205</v>
      </c>
      <c r="AK243">
        <f t="shared" si="153"/>
        <v>471.77935856750884</v>
      </c>
      <c r="AL243" t="str">
        <f t="shared" si="154"/>
        <v/>
      </c>
    </row>
    <row r="244" spans="31:38" x14ac:dyDescent="0.25">
      <c r="AE244" t="s">
        <v>267</v>
      </c>
      <c r="AF244" s="4">
        <f t="shared" si="148"/>
        <v>471.77935856750884</v>
      </c>
      <c r="AG244">
        <f t="shared" si="149"/>
        <v>7.7834493158012823E+204</v>
      </c>
      <c r="AH244">
        <f t="shared" si="150"/>
        <v>7.7834570992544698E+204</v>
      </c>
      <c r="AI244">
        <f t="shared" si="151"/>
        <v>7.7834415323558775E+204</v>
      </c>
      <c r="AJ244">
        <f t="shared" si="152"/>
        <v>7.7834492961408791E+204</v>
      </c>
      <c r="AK244">
        <f t="shared" si="153"/>
        <v>470.77935856498289</v>
      </c>
      <c r="AL244" t="str">
        <f t="shared" si="154"/>
        <v/>
      </c>
    </row>
    <row r="245" spans="31:38" x14ac:dyDescent="0.25">
      <c r="AE245" t="s">
        <v>268</v>
      </c>
      <c r="AF245" s="4">
        <f t="shared" si="148"/>
        <v>470.77935856498289</v>
      </c>
      <c r="AG245">
        <f t="shared" si="149"/>
        <v>2.8633709774504858E+204</v>
      </c>
      <c r="AH245">
        <f t="shared" si="150"/>
        <v>2.8633738408228877E+204</v>
      </c>
      <c r="AI245">
        <f t="shared" si="151"/>
        <v>2.8633681140809471E+204</v>
      </c>
      <c r="AJ245">
        <f t="shared" si="152"/>
        <v>2.8633709702754993E+204</v>
      </c>
      <c r="AK245">
        <f t="shared" si="153"/>
        <v>469.77935856247711</v>
      </c>
      <c r="AL245" t="str">
        <f t="shared" si="154"/>
        <v/>
      </c>
    </row>
    <row r="246" spans="31:38" x14ac:dyDescent="0.25">
      <c r="AE246" t="s">
        <v>269</v>
      </c>
      <c r="AF246" s="4">
        <f t="shared" si="148"/>
        <v>469.77935856247711</v>
      </c>
      <c r="AG246">
        <f t="shared" si="149"/>
        <v>1.0533753124114934E+204</v>
      </c>
      <c r="AH246">
        <f t="shared" si="150"/>
        <v>1.0533763657873299E+204</v>
      </c>
      <c r="AI246">
        <f t="shared" si="151"/>
        <v>1.0533742590367103E+204</v>
      </c>
      <c r="AJ246">
        <f t="shared" si="152"/>
        <v>1.0533753097936129E+204</v>
      </c>
      <c r="AK246">
        <f t="shared" si="153"/>
        <v>468.77935855999186</v>
      </c>
      <c r="AL246" t="str">
        <f t="shared" si="154"/>
        <v/>
      </c>
    </row>
    <row r="247" spans="31:38" x14ac:dyDescent="0.25">
      <c r="AE247" t="s">
        <v>270</v>
      </c>
      <c r="AF247" s="4">
        <f t="shared" si="148"/>
        <v>468.77935855999186</v>
      </c>
      <c r="AG247">
        <f t="shared" si="149"/>
        <v>3.8751512031066126E+203</v>
      </c>
      <c r="AH247">
        <f t="shared" si="150"/>
        <v>3.8751550782597435E+203</v>
      </c>
      <c r="AI247">
        <f t="shared" si="151"/>
        <v>3.8751473279573572E+203</v>
      </c>
      <c r="AJ247">
        <f t="shared" si="152"/>
        <v>3.8751511931572618E+203</v>
      </c>
      <c r="AK247">
        <f t="shared" si="153"/>
        <v>467.77935855742442</v>
      </c>
      <c r="AL247" t="str">
        <f t="shared" si="154"/>
        <v/>
      </c>
    </row>
    <row r="248" spans="31:38" x14ac:dyDescent="0.25">
      <c r="AE248" t="s">
        <v>271</v>
      </c>
      <c r="AF248" s="4">
        <f t="shared" si="148"/>
        <v>467.77935855742442</v>
      </c>
      <c r="AG248">
        <f t="shared" si="149"/>
        <v>1.4255884553935807E+203</v>
      </c>
      <c r="AH248">
        <f t="shared" si="150"/>
        <v>1.4255898809827452E+203</v>
      </c>
      <c r="AI248">
        <f t="shared" si="151"/>
        <v>1.4255870298058417E+203</v>
      </c>
      <c r="AJ248">
        <f t="shared" si="152"/>
        <v>1.4255884517351989E+203</v>
      </c>
      <c r="AK248">
        <f t="shared" si="153"/>
        <v>466.77935855485816</v>
      </c>
      <c r="AL248" t="str">
        <f t="shared" si="154"/>
        <v/>
      </c>
    </row>
    <row r="249" spans="31:38" x14ac:dyDescent="0.25">
      <c r="AE249" t="s">
        <v>272</v>
      </c>
      <c r="AF249" s="4">
        <f t="shared" si="148"/>
        <v>466.77935855485816</v>
      </c>
      <c r="AG249">
        <f t="shared" si="149"/>
        <v>5.2444468296479234E+202</v>
      </c>
      <c r="AH249">
        <f t="shared" si="150"/>
        <v>5.2444520740973625E+202</v>
      </c>
      <c r="AI249">
        <f t="shared" si="151"/>
        <v>5.2444415852037291E+202</v>
      </c>
      <c r="AJ249">
        <f t="shared" si="152"/>
        <v>5.2444468167298425E+202</v>
      </c>
      <c r="AK249">
        <f t="shared" si="153"/>
        <v>465.77935855239497</v>
      </c>
      <c r="AL249" t="str">
        <f t="shared" si="154"/>
        <v/>
      </c>
    </row>
    <row r="250" spans="31:38" x14ac:dyDescent="0.25">
      <c r="AE250" t="s">
        <v>273</v>
      </c>
      <c r="AF250" s="4">
        <f t="shared" si="148"/>
        <v>465.77935855239497</v>
      </c>
      <c r="AG250">
        <f t="shared" si="149"/>
        <v>1.9293241641919171E+202</v>
      </c>
      <c r="AH250">
        <f t="shared" si="150"/>
        <v>1.9293260935170412E+202</v>
      </c>
      <c r="AI250">
        <f t="shared" si="151"/>
        <v>1.9293222348687226E+202</v>
      </c>
      <c r="AJ250">
        <f t="shared" si="152"/>
        <v>1.9293241592897261E+202</v>
      </c>
      <c r="AK250">
        <f t="shared" si="153"/>
        <v>464.77935854985407</v>
      </c>
      <c r="AL250" t="str">
        <f t="shared" si="154"/>
        <v/>
      </c>
    </row>
    <row r="251" spans="31:38" x14ac:dyDescent="0.25">
      <c r="AE251" t="s">
        <v>274</v>
      </c>
      <c r="AF251" s="4">
        <f t="shared" si="148"/>
        <v>464.77935854985407</v>
      </c>
      <c r="AG251">
        <f t="shared" si="149"/>
        <v>7.097586935580561E+201</v>
      </c>
      <c r="AH251">
        <f t="shared" si="150"/>
        <v>7.0975940331710272E+201</v>
      </c>
      <c r="AI251">
        <f t="shared" si="151"/>
        <v>7.0975798379971925E+201</v>
      </c>
      <c r="AJ251">
        <f t="shared" si="152"/>
        <v>7.0975869173682798E+201</v>
      </c>
      <c r="AK251">
        <f t="shared" si="153"/>
        <v>463.7793585472881</v>
      </c>
      <c r="AL251" t="str">
        <f t="shared" si="154"/>
        <v/>
      </c>
    </row>
    <row r="252" spans="31:38" x14ac:dyDescent="0.25">
      <c r="AE252" t="s">
        <v>275</v>
      </c>
      <c r="AF252" s="4">
        <f t="shared" si="148"/>
        <v>463.7793585472881</v>
      </c>
      <c r="AG252">
        <f t="shared" si="149"/>
        <v>2.6110563088272175E+201</v>
      </c>
      <c r="AH252">
        <f t="shared" si="150"/>
        <v>2.6110589198848255E+201</v>
      </c>
      <c r="AI252">
        <f t="shared" si="151"/>
        <v>2.6110536977722207E+201</v>
      </c>
      <c r="AJ252">
        <f t="shared" si="152"/>
        <v>2.6110563023699229E+201</v>
      </c>
      <c r="AK252">
        <f t="shared" si="153"/>
        <v>462.77935854481501</v>
      </c>
      <c r="AL252" t="str">
        <f t="shared" si="154"/>
        <v/>
      </c>
    </row>
    <row r="253" spans="31:38" x14ac:dyDescent="0.25">
      <c r="AE253" t="s">
        <v>276</v>
      </c>
      <c r="AF253" s="4">
        <f t="shared" si="148"/>
        <v>462.77935854481501</v>
      </c>
      <c r="AG253">
        <f t="shared" si="149"/>
        <v>9.6055393338299264E+200</v>
      </c>
      <c r="AH253">
        <f t="shared" si="150"/>
        <v>9.6055489393740378E+200</v>
      </c>
      <c r="AI253">
        <f t="shared" si="151"/>
        <v>9.6055297282954186E+200</v>
      </c>
      <c r="AJ253">
        <f t="shared" si="152"/>
        <v>9.6055393096227051E+200</v>
      </c>
      <c r="AK253">
        <f t="shared" si="153"/>
        <v>461.77935854229486</v>
      </c>
      <c r="AL253" t="str">
        <f t="shared" si="154"/>
        <v/>
      </c>
    </row>
    <row r="254" spans="31:38" x14ac:dyDescent="0.25">
      <c r="AE254" t="s">
        <v>277</v>
      </c>
      <c r="AF254" s="4">
        <f t="shared" si="148"/>
        <v>461.77935854229486</v>
      </c>
      <c r="AG254">
        <f t="shared" si="149"/>
        <v>3.5336804333742467E+200</v>
      </c>
      <c r="AH254">
        <f t="shared" si="150"/>
        <v>3.5336839670564374E+200</v>
      </c>
      <c r="AI254">
        <f t="shared" si="151"/>
        <v>3.5336768996955885E+200</v>
      </c>
      <c r="AJ254">
        <f t="shared" si="152"/>
        <v>3.5336804244476571E+200</v>
      </c>
      <c r="AK254">
        <f t="shared" si="153"/>
        <v>460.77935853976874</v>
      </c>
      <c r="AL254" t="str">
        <f t="shared" si="154"/>
        <v/>
      </c>
    </row>
    <row r="255" spans="31:38" x14ac:dyDescent="0.25">
      <c r="AE255" t="s">
        <v>278</v>
      </c>
      <c r="AF255" s="4">
        <f t="shared" si="148"/>
        <v>460.77935853976874</v>
      </c>
      <c r="AG255">
        <f t="shared" si="149"/>
        <v>1.2999683798242997E+200</v>
      </c>
      <c r="AH255">
        <f t="shared" si="150"/>
        <v>1.2999696797933263E+200</v>
      </c>
      <c r="AI255">
        <f t="shared" si="151"/>
        <v>1.2999670798565731E+200</v>
      </c>
      <c r="AJ255">
        <f t="shared" si="152"/>
        <v>1.2999683765776394E+200</v>
      </c>
      <c r="AK255">
        <f t="shared" si="153"/>
        <v>459.77935853727126</v>
      </c>
      <c r="AL255" t="str">
        <f t="shared" si="154"/>
        <v/>
      </c>
    </row>
    <row r="256" spans="31:38" x14ac:dyDescent="0.25">
      <c r="AE256" t="s">
        <v>279</v>
      </c>
      <c r="AF256" s="4">
        <f t="shared" si="148"/>
        <v>459.77935853727126</v>
      </c>
      <c r="AG256">
        <f t="shared" si="149"/>
        <v>4.7823163991593834E+199</v>
      </c>
      <c r="AH256">
        <f t="shared" si="150"/>
        <v>4.7823211814781618E+199</v>
      </c>
      <c r="AI256">
        <f t="shared" si="151"/>
        <v>4.7823116168453869E+199</v>
      </c>
      <c r="AJ256">
        <f t="shared" si="152"/>
        <v>4.7823163874123157E+199</v>
      </c>
      <c r="AK256">
        <f t="shared" si="153"/>
        <v>458.77935853481489</v>
      </c>
      <c r="AL256" t="str">
        <f t="shared" si="154"/>
        <v/>
      </c>
    </row>
    <row r="257" spans="31:38" x14ac:dyDescent="0.25">
      <c r="AE257" t="s">
        <v>280</v>
      </c>
      <c r="AF257" s="4">
        <f t="shared" si="148"/>
        <v>458.77935853481489</v>
      </c>
      <c r="AG257">
        <f t="shared" si="149"/>
        <v>1.7593158801062393E+199</v>
      </c>
      <c r="AH257">
        <f t="shared" si="150"/>
        <v>1.7593176394229946E+199</v>
      </c>
      <c r="AI257">
        <f t="shared" si="151"/>
        <v>1.7593141207912432E+199</v>
      </c>
      <c r="AJ257">
        <f t="shared" si="152"/>
        <v>1.7593158757197905E+199</v>
      </c>
      <c r="AK257">
        <f t="shared" si="153"/>
        <v>457.77935853232162</v>
      </c>
      <c r="AL257" t="str">
        <f t="shared" si="154"/>
        <v/>
      </c>
    </row>
    <row r="258" spans="31:38" x14ac:dyDescent="0.25">
      <c r="AE258" t="s">
        <v>281</v>
      </c>
      <c r="AF258" s="4">
        <f t="shared" si="148"/>
        <v>457.77935853232162</v>
      </c>
      <c r="AG258">
        <f t="shared" si="149"/>
        <v>6.472161412038455E+198</v>
      </c>
      <c r="AH258">
        <f t="shared" si="150"/>
        <v>6.4721678842030866E+198</v>
      </c>
      <c r="AI258">
        <f t="shared" si="151"/>
        <v>6.4721549398802948E+198</v>
      </c>
      <c r="AJ258">
        <f t="shared" si="152"/>
        <v>6.4721613958786623E+198</v>
      </c>
      <c r="AK258">
        <f t="shared" si="153"/>
        <v>456.77935852982483</v>
      </c>
      <c r="AL258" t="str">
        <f t="shared" si="154"/>
        <v/>
      </c>
    </row>
    <row r="259" spans="31:38" x14ac:dyDescent="0.25">
      <c r="AE259" t="s">
        <v>282</v>
      </c>
      <c r="AF259" s="4">
        <f t="shared" si="148"/>
        <v>456.77935852982483</v>
      </c>
      <c r="AG259">
        <f t="shared" si="149"/>
        <v>2.3809751174872842E+198</v>
      </c>
      <c r="AH259">
        <f t="shared" si="150"/>
        <v>2.3809774984635861E+198</v>
      </c>
      <c r="AI259">
        <f t="shared" si="151"/>
        <v>2.3809727365133631E+198</v>
      </c>
      <c r="AJ259">
        <f t="shared" si="152"/>
        <v>2.3809751115002471E+198</v>
      </c>
      <c r="AK259">
        <f t="shared" si="153"/>
        <v>455.77935852731031</v>
      </c>
      <c r="AL259" t="str">
        <f t="shared" si="154"/>
        <v/>
      </c>
    </row>
    <row r="260" spans="31:38" x14ac:dyDescent="0.25">
      <c r="AE260" t="s">
        <v>283</v>
      </c>
      <c r="AF260" s="4">
        <f t="shared" si="148"/>
        <v>455.77935852731031</v>
      </c>
      <c r="AG260">
        <f t="shared" si="149"/>
        <v>8.7591179346182883E+197</v>
      </c>
      <c r="AH260">
        <f t="shared" si="150"/>
        <v>8.7591266937405805E+197</v>
      </c>
      <c r="AI260">
        <f t="shared" si="151"/>
        <v>8.7591091755047546E+197</v>
      </c>
      <c r="AJ260">
        <f t="shared" si="152"/>
        <v>8.7591179129513611E+197</v>
      </c>
      <c r="AK260">
        <f t="shared" si="153"/>
        <v>454.77935852483665</v>
      </c>
      <c r="AL260" t="str">
        <f t="shared" si="154"/>
        <v/>
      </c>
    </row>
    <row r="261" spans="31:38" x14ac:dyDescent="0.25">
      <c r="AE261" t="s">
        <v>284</v>
      </c>
      <c r="AF261" s="4">
        <f t="shared" si="148"/>
        <v>454.77935852483665</v>
      </c>
      <c r="AG261">
        <f t="shared" si="149"/>
        <v>3.2222994029712767E+197</v>
      </c>
      <c r="AH261">
        <f t="shared" si="150"/>
        <v>3.2223026252722823E+197</v>
      </c>
      <c r="AI261">
        <f t="shared" si="151"/>
        <v>3.2222961806734931E+197</v>
      </c>
      <c r="AJ261">
        <f t="shared" si="152"/>
        <v>3.2222993946184499E+197</v>
      </c>
      <c r="AK261">
        <f t="shared" si="153"/>
        <v>453.77935852224448</v>
      </c>
      <c r="AL261" t="str">
        <f t="shared" si="154"/>
        <v/>
      </c>
    </row>
    <row r="262" spans="31:38" x14ac:dyDescent="0.25">
      <c r="AE262" t="s">
        <v>285</v>
      </c>
      <c r="AF262" s="4">
        <f t="shared" si="148"/>
        <v>453.77935852224448</v>
      </c>
      <c r="AG262">
        <f t="shared" si="149"/>
        <v>1.185417700579337E+197</v>
      </c>
      <c r="AH262">
        <f t="shared" si="150"/>
        <v>1.1854188859976273E+197</v>
      </c>
      <c r="AI262">
        <f t="shared" si="151"/>
        <v>1.185416515162232E+197</v>
      </c>
      <c r="AJ262">
        <f t="shared" si="152"/>
        <v>1.1854176976453279E+197</v>
      </c>
      <c r="AK262">
        <f t="shared" si="153"/>
        <v>452.7793585197694</v>
      </c>
      <c r="AL262" t="str">
        <f t="shared" si="154"/>
        <v/>
      </c>
    </row>
    <row r="263" spans="31:38" x14ac:dyDescent="0.25">
      <c r="AE263" t="s">
        <v>286</v>
      </c>
      <c r="AF263" s="4">
        <f t="shared" si="148"/>
        <v>452.7793585197694</v>
      </c>
      <c r="AG263">
        <f t="shared" si="149"/>
        <v>4.3609080016450472E+196</v>
      </c>
      <c r="AH263">
        <f t="shared" si="150"/>
        <v>4.3609123625552177E+196</v>
      </c>
      <c r="AI263">
        <f t="shared" si="151"/>
        <v>4.3609036407392369E+196</v>
      </c>
      <c r="AJ263">
        <f t="shared" si="152"/>
        <v>4.3609079904203918E+196</v>
      </c>
      <c r="AK263">
        <f t="shared" si="153"/>
        <v>451.77935851719548</v>
      </c>
      <c r="AL263" t="str">
        <f t="shared" si="154"/>
        <v/>
      </c>
    </row>
    <row r="264" spans="31:38" x14ac:dyDescent="0.25">
      <c r="AE264" t="s">
        <v>287</v>
      </c>
      <c r="AF264" s="4">
        <f t="shared" si="148"/>
        <v>451.77935851719548</v>
      </c>
      <c r="AG264">
        <f t="shared" si="149"/>
        <v>1.6042883945159302E+196</v>
      </c>
      <c r="AH264">
        <f t="shared" si="150"/>
        <v>1.6042899988051227E+196</v>
      </c>
      <c r="AI264">
        <f t="shared" si="151"/>
        <v>1.6042867902283418E+196</v>
      </c>
      <c r="AJ264">
        <f t="shared" si="152"/>
        <v>1.6042883904502543E+196</v>
      </c>
      <c r="AK264">
        <f t="shared" si="153"/>
        <v>450.77935851466123</v>
      </c>
      <c r="AL264" t="str">
        <f t="shared" si="154"/>
        <v/>
      </c>
    </row>
    <row r="265" spans="31:38" x14ac:dyDescent="0.25">
      <c r="AE265" t="s">
        <v>288</v>
      </c>
      <c r="AF265" s="4">
        <f t="shared" si="148"/>
        <v>450.77935851466123</v>
      </c>
      <c r="AG265">
        <f t="shared" si="149"/>
        <v>5.9018471655667506E+195</v>
      </c>
      <c r="AH265">
        <f t="shared" si="150"/>
        <v>5.9018530674168529E+195</v>
      </c>
      <c r="AI265">
        <f t="shared" si="151"/>
        <v>5.9018412637225509E+195</v>
      </c>
      <c r="AJ265">
        <f t="shared" si="152"/>
        <v>5.901847151001759E+195</v>
      </c>
      <c r="AK265">
        <f t="shared" si="153"/>
        <v>449.77935851219337</v>
      </c>
      <c r="AL265" t="str">
        <f t="shared" si="154"/>
        <v/>
      </c>
    </row>
    <row r="266" spans="31:38" x14ac:dyDescent="0.25">
      <c r="AE266" t="s">
        <v>289</v>
      </c>
      <c r="AF266" s="4">
        <f t="shared" si="148"/>
        <v>449.77935851219337</v>
      </c>
      <c r="AG266">
        <f t="shared" si="149"/>
        <v>2.1711682317898242E+195</v>
      </c>
      <c r="AH266">
        <f t="shared" si="150"/>
        <v>2.1711704029591363E+195</v>
      </c>
      <c r="AI266">
        <f t="shared" si="151"/>
        <v>2.1711660606226837E+195</v>
      </c>
      <c r="AJ266">
        <f t="shared" si="152"/>
        <v>2.1711682263091023E+195</v>
      </c>
      <c r="AK266">
        <f t="shared" si="153"/>
        <v>448.77935850966907</v>
      </c>
      <c r="AL266" t="str">
        <f t="shared" si="154"/>
        <v/>
      </c>
    </row>
    <row r="267" spans="31:38" x14ac:dyDescent="0.25">
      <c r="AE267" t="s">
        <v>290</v>
      </c>
      <c r="AF267" s="4">
        <f t="shared" si="148"/>
        <v>448.77935850966907</v>
      </c>
      <c r="AG267">
        <f t="shared" si="149"/>
        <v>7.9872815378379765E+194</v>
      </c>
      <c r="AH267">
        <f t="shared" si="150"/>
        <v>7.9872895251234878E+194</v>
      </c>
      <c r="AI267">
        <f t="shared" si="151"/>
        <v>7.9872735505604517E+194</v>
      </c>
      <c r="AJ267">
        <f t="shared" si="152"/>
        <v>7.987281518016673E+194</v>
      </c>
      <c r="AK267">
        <f t="shared" si="153"/>
        <v>447.77935850718745</v>
      </c>
      <c r="AL267" t="str">
        <f t="shared" si="154"/>
        <v/>
      </c>
    </row>
    <row r="268" spans="31:38" x14ac:dyDescent="0.25">
      <c r="AE268" t="s">
        <v>291</v>
      </c>
      <c r="AF268" s="4">
        <f t="shared" si="148"/>
        <v>447.77935850718745</v>
      </c>
      <c r="AG268">
        <f t="shared" si="149"/>
        <v>2.9383566613269489E+194</v>
      </c>
      <c r="AH268">
        <f t="shared" si="150"/>
        <v>2.9383595996850717E+194</v>
      </c>
      <c r="AI268">
        <f t="shared" si="151"/>
        <v>2.9383537229717638E+194</v>
      </c>
      <c r="AJ268">
        <f t="shared" si="152"/>
        <v>2.9383566539426985E+194</v>
      </c>
      <c r="AK268">
        <f t="shared" si="153"/>
        <v>446.77935850467441</v>
      </c>
      <c r="AL268" t="str">
        <f t="shared" si="154"/>
        <v/>
      </c>
    </row>
    <row r="269" spans="31:38" x14ac:dyDescent="0.25">
      <c r="AE269" t="s">
        <v>292</v>
      </c>
      <c r="AF269" s="4">
        <f t="shared" si="148"/>
        <v>446.77935850467441</v>
      </c>
      <c r="AG269">
        <f t="shared" si="149"/>
        <v>1.0809610038148365E+194</v>
      </c>
      <c r="AH269">
        <f t="shared" si="150"/>
        <v>1.0809620847763779E+194</v>
      </c>
      <c r="AI269">
        <f t="shared" si="151"/>
        <v>1.0809599228543758E+194</v>
      </c>
      <c r="AJ269">
        <f t="shared" si="152"/>
        <v>1.0809610010549194E+194</v>
      </c>
      <c r="AK269">
        <f t="shared" si="153"/>
        <v>445.77935850212123</v>
      </c>
      <c r="AL269" t="str">
        <f t="shared" si="154"/>
        <v/>
      </c>
    </row>
    <row r="270" spans="31:38" x14ac:dyDescent="0.25">
      <c r="AE270" t="s">
        <v>293</v>
      </c>
      <c r="AF270" s="4">
        <f t="shared" si="148"/>
        <v>445.77935850212123</v>
      </c>
      <c r="AG270">
        <f t="shared" si="149"/>
        <v>3.9766332899621767E+193</v>
      </c>
      <c r="AH270">
        <f t="shared" si="150"/>
        <v>3.9766372665974453E+193</v>
      </c>
      <c r="AI270">
        <f t="shared" si="151"/>
        <v>3.976629313330885E+193</v>
      </c>
      <c r="AJ270">
        <f t="shared" si="152"/>
        <v>3.976633280159631E+193</v>
      </c>
      <c r="AK270">
        <f t="shared" si="153"/>
        <v>444.77935849965621</v>
      </c>
      <c r="AL270" t="str">
        <f t="shared" si="154"/>
        <v/>
      </c>
    </row>
    <row r="271" spans="31:38" x14ac:dyDescent="0.25">
      <c r="AE271" t="s">
        <v>294</v>
      </c>
      <c r="AF271" s="4">
        <f t="shared" si="148"/>
        <v>444.77935849965621</v>
      </c>
      <c r="AG271">
        <f t="shared" si="149"/>
        <v>1.4629216288489163E+193</v>
      </c>
      <c r="AH271">
        <f t="shared" si="150"/>
        <v>1.462923091771273E+193</v>
      </c>
      <c r="AI271">
        <f t="shared" si="151"/>
        <v>1.4629201659280225E+193</v>
      </c>
      <c r="AJ271">
        <f t="shared" si="152"/>
        <v>1.4629216252349022E+193</v>
      </c>
      <c r="AK271">
        <f t="shared" si="153"/>
        <v>443.7793584971858</v>
      </c>
      <c r="AL271" t="str">
        <f t="shared" si="154"/>
        <v/>
      </c>
    </row>
    <row r="272" spans="31:38" x14ac:dyDescent="0.25">
      <c r="AE272" t="s">
        <v>295</v>
      </c>
      <c r="AF272" s="4">
        <f t="shared" ref="AF272:AF335" si="155">AK271</f>
        <v>443.7793584971858</v>
      </c>
      <c r="AG272">
        <f t="shared" ref="AG272:AG335" si="156">EXP(AF272)-ATAN(AF272)-1.5</f>
        <v>5.3817878996903051E+192</v>
      </c>
      <c r="AH272">
        <f t="shared" ref="AH272:AH335" si="157">EXP(AF272+E$6)-ATAN(AF272+E$6)-1.5</f>
        <v>5.381793281480882E+192</v>
      </c>
      <c r="AI272">
        <f t="shared" ref="AI272:AI335" si="158">EXP(AF272-E$6)-ATAN(AF272-E$6)-1.5</f>
        <v>5.3817825179051097E+192</v>
      </c>
      <c r="AJ272">
        <f t="shared" ref="AJ272:AJ335" si="159">(AH272-AI272)/(E$6*2)</f>
        <v>5.3817878861575313E+192</v>
      </c>
      <c r="AK272">
        <f t="shared" ref="AK272:AK335" si="160">AF272-AG272/AJ272</f>
        <v>442.77935849467127</v>
      </c>
      <c r="AL272" t="str">
        <f t="shared" ref="AL272:AL335" si="161">IF(AF273=AF272,"STOP","")</f>
        <v/>
      </c>
    </row>
    <row r="273" spans="31:38" x14ac:dyDescent="0.25">
      <c r="AE273" t="s">
        <v>296</v>
      </c>
      <c r="AF273" s="4">
        <f t="shared" si="155"/>
        <v>442.77935849467127</v>
      </c>
      <c r="AG273">
        <f t="shared" si="156"/>
        <v>1.9798491200629188E+192</v>
      </c>
      <c r="AH273">
        <f t="shared" si="157"/>
        <v>1.9798510999130237E+192</v>
      </c>
      <c r="AI273">
        <f t="shared" si="158"/>
        <v>1.9798471402147935E+192</v>
      </c>
      <c r="AJ273">
        <f t="shared" si="159"/>
        <v>1.9798491151068414E+192</v>
      </c>
      <c r="AK273">
        <f t="shared" si="160"/>
        <v>441.779358492168</v>
      </c>
      <c r="AL273" t="str">
        <f t="shared" si="161"/>
        <v/>
      </c>
    </row>
    <row r="274" spans="31:38" x14ac:dyDescent="0.25">
      <c r="AE274" t="s">
        <v>297</v>
      </c>
      <c r="AF274" s="4">
        <f t="shared" si="155"/>
        <v>441.779358492168</v>
      </c>
      <c r="AG274">
        <f t="shared" si="156"/>
        <v>7.2834578606927178E+191</v>
      </c>
      <c r="AH274">
        <f t="shared" si="157"/>
        <v>7.283465144154202E+191</v>
      </c>
      <c r="AI274">
        <f t="shared" si="158"/>
        <v>7.2834505772385175E+191</v>
      </c>
      <c r="AJ274">
        <f t="shared" si="159"/>
        <v>7.2834578422180166E+191</v>
      </c>
      <c r="AK274">
        <f t="shared" si="160"/>
        <v>440.77935848963148</v>
      </c>
      <c r="AL274" t="str">
        <f t="shared" si="161"/>
        <v/>
      </c>
    </row>
    <row r="275" spans="31:38" x14ac:dyDescent="0.25">
      <c r="AE275" t="s">
        <v>298</v>
      </c>
      <c r="AF275" s="4">
        <f t="shared" si="155"/>
        <v>440.77935848963148</v>
      </c>
      <c r="AG275">
        <f t="shared" si="156"/>
        <v>2.6794344007909366E+191</v>
      </c>
      <c r="AH275">
        <f t="shared" si="157"/>
        <v>2.6794370802266704E+191</v>
      </c>
      <c r="AI275">
        <f t="shared" si="158"/>
        <v>2.6794317213578824E+191</v>
      </c>
      <c r="AJ275">
        <f t="shared" si="159"/>
        <v>2.679434393987061E+191</v>
      </c>
      <c r="AK275">
        <f t="shared" si="160"/>
        <v>439.77935848709217</v>
      </c>
      <c r="AL275" t="str">
        <f t="shared" si="161"/>
        <v/>
      </c>
    </row>
    <row r="276" spans="31:38" x14ac:dyDescent="0.25">
      <c r="AE276" t="s">
        <v>299</v>
      </c>
      <c r="AF276" s="4">
        <f t="shared" si="155"/>
        <v>439.77935848709217</v>
      </c>
      <c r="AG276">
        <f t="shared" si="156"/>
        <v>9.8570882751548864E+190</v>
      </c>
      <c r="AH276">
        <f t="shared" si="157"/>
        <v>9.8570981322480655E+190</v>
      </c>
      <c r="AI276">
        <f t="shared" si="158"/>
        <v>9.8570784180715656E+190</v>
      </c>
      <c r="AJ276">
        <f t="shared" si="159"/>
        <v>9.8570882499573875E+190</v>
      </c>
      <c r="AK276">
        <f t="shared" si="160"/>
        <v>438.77935848453586</v>
      </c>
      <c r="AL276" t="str">
        <f t="shared" si="161"/>
        <v/>
      </c>
    </row>
    <row r="277" spans="31:38" x14ac:dyDescent="0.25">
      <c r="AE277" t="s">
        <v>300</v>
      </c>
      <c r="AF277" s="4">
        <f t="shared" si="155"/>
        <v>438.77935848453586</v>
      </c>
      <c r="AG277">
        <f t="shared" si="156"/>
        <v>3.6262201169718302E+190</v>
      </c>
      <c r="AH277">
        <f t="shared" si="157"/>
        <v>3.6262237431937507E+190</v>
      </c>
      <c r="AI277">
        <f t="shared" si="158"/>
        <v>3.6262164907535353E+190</v>
      </c>
      <c r="AJ277">
        <f t="shared" si="159"/>
        <v>3.62622010769921E+190</v>
      </c>
      <c r="AK277">
        <f t="shared" si="160"/>
        <v>437.77935848197876</v>
      </c>
      <c r="AL277" t="str">
        <f t="shared" si="161"/>
        <v/>
      </c>
    </row>
    <row r="278" spans="31:38" x14ac:dyDescent="0.25">
      <c r="AE278" t="s">
        <v>301</v>
      </c>
      <c r="AF278" s="4">
        <f t="shared" si="155"/>
        <v>437.77935848197876</v>
      </c>
      <c r="AG278">
        <f t="shared" si="156"/>
        <v>1.3340118267850358E+190</v>
      </c>
      <c r="AH278">
        <f t="shared" si="157"/>
        <v>1.3340131607975263E+190</v>
      </c>
      <c r="AI278">
        <f t="shared" si="158"/>
        <v>1.3340104927738795E+190</v>
      </c>
      <c r="AJ278">
        <f t="shared" si="159"/>
        <v>1.3340118233963061E+190</v>
      </c>
      <c r="AK278">
        <f t="shared" si="160"/>
        <v>436.77935847943849</v>
      </c>
      <c r="AL278" t="str">
        <f t="shared" si="161"/>
        <v/>
      </c>
    </row>
    <row r="279" spans="31:38" x14ac:dyDescent="0.25">
      <c r="AE279" t="s">
        <v>302</v>
      </c>
      <c r="AF279" s="4">
        <f t="shared" si="155"/>
        <v>436.77935847943849</v>
      </c>
      <c r="AG279">
        <f t="shared" si="156"/>
        <v>4.9075552410711967E+189</v>
      </c>
      <c r="AH279">
        <f t="shared" si="157"/>
        <v>4.907560148628879E+189</v>
      </c>
      <c r="AI279">
        <f t="shared" si="158"/>
        <v>4.9075503335184214E+189</v>
      </c>
      <c r="AJ279">
        <f t="shared" si="159"/>
        <v>4.9075552288402147E+189</v>
      </c>
      <c r="AK279">
        <f t="shared" si="160"/>
        <v>435.77935847694619</v>
      </c>
      <c r="AL279" t="str">
        <f t="shared" si="161"/>
        <v/>
      </c>
    </row>
    <row r="280" spans="31:38" x14ac:dyDescent="0.25">
      <c r="AE280" t="s">
        <v>303</v>
      </c>
      <c r="AF280" s="4">
        <f t="shared" si="155"/>
        <v>435.77935847694619</v>
      </c>
      <c r="AG280">
        <f t="shared" si="156"/>
        <v>1.805388675103685E+189</v>
      </c>
      <c r="AH280">
        <f t="shared" si="157"/>
        <v>1.8053904804932582E+189</v>
      </c>
      <c r="AI280">
        <f t="shared" si="158"/>
        <v>1.8053868697159171E+189</v>
      </c>
      <c r="AJ280">
        <f t="shared" si="159"/>
        <v>1.805388670556459E+189</v>
      </c>
      <c r="AK280">
        <f t="shared" si="160"/>
        <v>434.77935847442751</v>
      </c>
      <c r="AL280" t="str">
        <f t="shared" si="161"/>
        <v/>
      </c>
    </row>
    <row r="281" spans="31:38" x14ac:dyDescent="0.25">
      <c r="AE281" t="s">
        <v>304</v>
      </c>
      <c r="AF281" s="4">
        <f t="shared" si="155"/>
        <v>434.77935847442751</v>
      </c>
      <c r="AG281">
        <f t="shared" si="156"/>
        <v>6.6416537522157749E+188</v>
      </c>
      <c r="AH281">
        <f t="shared" si="157"/>
        <v>6.6416603938728309E+188</v>
      </c>
      <c r="AI281">
        <f t="shared" si="158"/>
        <v>6.641647110565361E+188</v>
      </c>
      <c r="AJ281">
        <f t="shared" si="159"/>
        <v>6.6416537349432449E+188</v>
      </c>
      <c r="AK281">
        <f t="shared" si="160"/>
        <v>433.77935847182687</v>
      </c>
      <c r="AL281" t="str">
        <f t="shared" si="161"/>
        <v/>
      </c>
    </row>
    <row r="282" spans="31:38" x14ac:dyDescent="0.25">
      <c r="AE282" t="s">
        <v>305</v>
      </c>
      <c r="AF282" s="4">
        <f t="shared" si="155"/>
        <v>433.77935847182687</v>
      </c>
      <c r="AG282">
        <f t="shared" si="156"/>
        <v>2.4433278644651283E+188</v>
      </c>
      <c r="AH282">
        <f t="shared" si="157"/>
        <v>2.4433303077942083E+188</v>
      </c>
      <c r="AI282">
        <f t="shared" si="158"/>
        <v>2.4433254211384915E+188</v>
      </c>
      <c r="AJ282">
        <f t="shared" si="159"/>
        <v>2.4433278583670043E+188</v>
      </c>
      <c r="AK282">
        <f t="shared" si="160"/>
        <v>432.77935846933104</v>
      </c>
      <c r="AL282" t="str">
        <f t="shared" si="161"/>
        <v/>
      </c>
    </row>
    <row r="283" spans="31:38" x14ac:dyDescent="0.25">
      <c r="AE283" t="s">
        <v>306</v>
      </c>
      <c r="AF283" s="4">
        <f t="shared" si="155"/>
        <v>432.77935846933104</v>
      </c>
      <c r="AG283">
        <f t="shared" si="156"/>
        <v>8.9885008713467332E+187</v>
      </c>
      <c r="AH283">
        <f t="shared" si="157"/>
        <v>8.9885098598520756E+187</v>
      </c>
      <c r="AI283">
        <f t="shared" si="158"/>
        <v>8.9884918828503796E+187</v>
      </c>
      <c r="AJ283">
        <f t="shared" si="159"/>
        <v>8.988500847995208E+187</v>
      </c>
      <c r="AK283">
        <f t="shared" si="160"/>
        <v>431.77935846673313</v>
      </c>
      <c r="AL283" t="str">
        <f t="shared" si="161"/>
        <v/>
      </c>
    </row>
    <row r="284" spans="31:38" x14ac:dyDescent="0.25">
      <c r="AE284" t="s">
        <v>307</v>
      </c>
      <c r="AF284" s="4">
        <f t="shared" si="155"/>
        <v>431.77935846673313</v>
      </c>
      <c r="AG284">
        <f t="shared" si="156"/>
        <v>3.3066846689295734E+187</v>
      </c>
      <c r="AH284">
        <f t="shared" si="157"/>
        <v>3.3066879756158875E+187</v>
      </c>
      <c r="AI284">
        <f t="shared" si="158"/>
        <v>3.3066813622465662E+187</v>
      </c>
      <c r="AJ284">
        <f t="shared" si="159"/>
        <v>3.3066846606152281E+187</v>
      </c>
      <c r="AK284">
        <f t="shared" si="160"/>
        <v>430.77935846421872</v>
      </c>
      <c r="AL284" t="str">
        <f t="shared" si="161"/>
        <v/>
      </c>
    </row>
    <row r="285" spans="31:38" x14ac:dyDescent="0.25">
      <c r="AE285" t="s">
        <v>308</v>
      </c>
      <c r="AF285" s="4">
        <f t="shared" si="155"/>
        <v>430.77935846421872</v>
      </c>
      <c r="AG285">
        <f t="shared" si="156"/>
        <v>1.2164613050773026E+187</v>
      </c>
      <c r="AH285">
        <f t="shared" si="157"/>
        <v>1.2164625215392128E+187</v>
      </c>
      <c r="AI285">
        <f t="shared" si="158"/>
        <v>1.2164600886166088E+187</v>
      </c>
      <c r="AJ285">
        <f t="shared" si="159"/>
        <v>1.2164613020162405E+187</v>
      </c>
      <c r="AK285">
        <f t="shared" si="160"/>
        <v>429.77935846170237</v>
      </c>
      <c r="AL285" t="str">
        <f t="shared" si="161"/>
        <v/>
      </c>
    </row>
    <row r="286" spans="31:38" x14ac:dyDescent="0.25">
      <c r="AE286" t="s">
        <v>309</v>
      </c>
      <c r="AF286" s="4">
        <f t="shared" si="155"/>
        <v>429.77935846170237</v>
      </c>
      <c r="AG286">
        <f t="shared" si="156"/>
        <v>4.475111039924294E+186</v>
      </c>
      <c r="AH286">
        <f t="shared" si="157"/>
        <v>4.4751155150375602E+186</v>
      </c>
      <c r="AI286">
        <f t="shared" si="158"/>
        <v>4.4751065648155028E+186</v>
      </c>
      <c r="AJ286">
        <f t="shared" si="159"/>
        <v>4.4751110286920582E+186</v>
      </c>
      <c r="AK286">
        <f t="shared" si="160"/>
        <v>428.77935845919245</v>
      </c>
      <c r="AL286" t="str">
        <f t="shared" si="161"/>
        <v/>
      </c>
    </row>
    <row r="287" spans="31:38" x14ac:dyDescent="0.25">
      <c r="AE287" t="s">
        <v>310</v>
      </c>
      <c r="AF287" s="4">
        <f t="shared" si="155"/>
        <v>428.77935845919245</v>
      </c>
      <c r="AG287">
        <f t="shared" si="156"/>
        <v>1.6463013444154149E+186</v>
      </c>
      <c r="AH287">
        <f t="shared" si="157"/>
        <v>1.6463029907175782E+186</v>
      </c>
      <c r="AI287">
        <f t="shared" si="158"/>
        <v>1.6462996981148976E+186</v>
      </c>
      <c r="AJ287">
        <f t="shared" si="159"/>
        <v>1.6463013402977772E+186</v>
      </c>
      <c r="AK287">
        <f t="shared" si="160"/>
        <v>427.77935845669128</v>
      </c>
      <c r="AL287" t="str">
        <f t="shared" si="161"/>
        <v/>
      </c>
    </row>
    <row r="288" spans="31:38" x14ac:dyDescent="0.25">
      <c r="AE288" t="s">
        <v>311</v>
      </c>
      <c r="AF288" s="4">
        <f t="shared" si="155"/>
        <v>427.77935845669128</v>
      </c>
      <c r="AG288">
        <f t="shared" si="156"/>
        <v>6.05640417068529E+185</v>
      </c>
      <c r="AH288">
        <f t="shared" si="157"/>
        <v>6.0564102270924732E+185</v>
      </c>
      <c r="AI288">
        <f t="shared" si="158"/>
        <v>6.0563981142841633E+185</v>
      </c>
      <c r="AJ288">
        <f t="shared" si="159"/>
        <v>6.0564041549567624E+185</v>
      </c>
      <c r="AK288">
        <f t="shared" si="160"/>
        <v>426.77935845409428</v>
      </c>
      <c r="AL288" t="str">
        <f t="shared" si="161"/>
        <v/>
      </c>
    </row>
    <row r="289" spans="31:38" x14ac:dyDescent="0.25">
      <c r="AE289" t="s">
        <v>312</v>
      </c>
      <c r="AF289" s="4">
        <f t="shared" si="155"/>
        <v>426.77935845409428</v>
      </c>
      <c r="AG289">
        <f t="shared" si="156"/>
        <v>2.2280265760339004E+185</v>
      </c>
      <c r="AH289">
        <f t="shared" si="157"/>
        <v>2.2280288040615848E+185</v>
      </c>
      <c r="AI289">
        <f t="shared" si="158"/>
        <v>2.2280243480084439E+185</v>
      </c>
      <c r="AJ289">
        <f t="shared" si="159"/>
        <v>2.2280265704695838E+185</v>
      </c>
      <c r="AK289">
        <f t="shared" si="160"/>
        <v>425.77935845159686</v>
      </c>
      <c r="AL289" t="str">
        <f t="shared" si="161"/>
        <v/>
      </c>
    </row>
    <row r="290" spans="31:38" x14ac:dyDescent="0.25">
      <c r="AE290" t="s">
        <v>313</v>
      </c>
      <c r="AF290" s="4">
        <f t="shared" si="155"/>
        <v>425.77935845159686</v>
      </c>
      <c r="AG290">
        <f t="shared" si="156"/>
        <v>8.1964516965947873E+184</v>
      </c>
      <c r="AH290">
        <f t="shared" si="157"/>
        <v>8.1964598930505609E+184</v>
      </c>
      <c r="AI290">
        <f t="shared" si="158"/>
        <v>8.1964435001472091E+184</v>
      </c>
      <c r="AJ290">
        <f t="shared" si="159"/>
        <v>8.1964516759011821E+184</v>
      </c>
      <c r="AK290">
        <f t="shared" si="160"/>
        <v>424.77935844907216</v>
      </c>
      <c r="AL290" t="str">
        <f t="shared" si="161"/>
        <v/>
      </c>
    </row>
    <row r="291" spans="31:38" x14ac:dyDescent="0.25">
      <c r="AE291" t="s">
        <v>314</v>
      </c>
      <c r="AF291" s="4">
        <f t="shared" si="155"/>
        <v>424.77935844907216</v>
      </c>
      <c r="AG291">
        <f t="shared" si="156"/>
        <v>3.015306062119266E+184</v>
      </c>
      <c r="AH291">
        <f t="shared" si="157"/>
        <v>3.0153090774268282E+184</v>
      </c>
      <c r="AI291">
        <f t="shared" si="158"/>
        <v>3.0153030468147189E+184</v>
      </c>
      <c r="AJ291">
        <f t="shared" si="159"/>
        <v>3.015306054663621E+184</v>
      </c>
      <c r="AK291">
        <f t="shared" si="160"/>
        <v>423.77935844659959</v>
      </c>
      <c r="AL291" t="str">
        <f t="shared" si="161"/>
        <v/>
      </c>
    </row>
    <row r="292" spans="31:38" x14ac:dyDescent="0.25">
      <c r="AE292" t="s">
        <v>315</v>
      </c>
      <c r="AF292" s="4">
        <f t="shared" si="155"/>
        <v>423.77935844659959</v>
      </c>
      <c r="AG292">
        <f t="shared" si="156"/>
        <v>1.1092691063505467E+184</v>
      </c>
      <c r="AH292">
        <f t="shared" si="157"/>
        <v>1.1092702156202049E+184</v>
      </c>
      <c r="AI292">
        <f t="shared" si="158"/>
        <v>1.1092679970819979E+184</v>
      </c>
      <c r="AJ292">
        <f t="shared" si="159"/>
        <v>1.1092691035111572E+184</v>
      </c>
      <c r="AK292">
        <f t="shared" si="160"/>
        <v>422.77935844403987</v>
      </c>
      <c r="AL292" t="str">
        <f t="shared" si="161"/>
        <v/>
      </c>
    </row>
    <row r="293" spans="31:38" x14ac:dyDescent="0.25">
      <c r="AE293" t="s">
        <v>316</v>
      </c>
      <c r="AF293" s="4">
        <f t="shared" si="155"/>
        <v>422.77935844403987</v>
      </c>
      <c r="AG293">
        <f t="shared" si="156"/>
        <v>4.0807729790842237E+183</v>
      </c>
      <c r="AH293">
        <f t="shared" si="157"/>
        <v>4.0807770598592332E+183</v>
      </c>
      <c r="AI293">
        <f t="shared" si="158"/>
        <v>4.0807688983132953E+183</v>
      </c>
      <c r="AJ293">
        <f t="shared" si="159"/>
        <v>4.0807729689348688E+183</v>
      </c>
      <c r="AK293">
        <f t="shared" si="160"/>
        <v>421.77935844155274</v>
      </c>
      <c r="AL293" t="str">
        <f t="shared" si="161"/>
        <v/>
      </c>
    </row>
    <row r="294" spans="31:38" x14ac:dyDescent="0.25">
      <c r="AE294" t="s">
        <v>317</v>
      </c>
      <c r="AF294" s="4">
        <f t="shared" si="155"/>
        <v>421.77935844155274</v>
      </c>
      <c r="AG294">
        <f t="shared" si="156"/>
        <v>1.5012324793592704E+183</v>
      </c>
      <c r="AH294">
        <f t="shared" si="157"/>
        <v>1.5012339805924967E+183</v>
      </c>
      <c r="AI294">
        <f t="shared" si="158"/>
        <v>1.5012309781275453E+183</v>
      </c>
      <c r="AJ294">
        <f t="shared" si="159"/>
        <v>1.5012324756807343E+183</v>
      </c>
      <c r="AK294">
        <f t="shared" si="160"/>
        <v>420.7793584391024</v>
      </c>
      <c r="AL294" t="str">
        <f t="shared" si="161"/>
        <v/>
      </c>
    </row>
    <row r="295" spans="31:38" x14ac:dyDescent="0.25">
      <c r="AE295" t="s">
        <v>318</v>
      </c>
      <c r="AF295" s="4">
        <f t="shared" si="155"/>
        <v>420.7793584391024</v>
      </c>
      <c r="AG295">
        <f t="shared" si="156"/>
        <v>5.522725642218465E+182</v>
      </c>
      <c r="AH295">
        <f t="shared" si="157"/>
        <v>5.5227311649468552E+182</v>
      </c>
      <c r="AI295">
        <f t="shared" si="158"/>
        <v>5.5227201194955989E+182</v>
      </c>
      <c r="AJ295">
        <f t="shared" si="159"/>
        <v>5.5227256281465975E+182</v>
      </c>
      <c r="AK295">
        <f t="shared" si="160"/>
        <v>419.77935843655439</v>
      </c>
      <c r="AL295" t="str">
        <f t="shared" si="161"/>
        <v/>
      </c>
    </row>
    <row r="296" spans="31:38" x14ac:dyDescent="0.25">
      <c r="AE296" t="s">
        <v>319</v>
      </c>
      <c r="AF296" s="4">
        <f t="shared" si="155"/>
        <v>419.77935843655439</v>
      </c>
      <c r="AG296">
        <f t="shared" si="156"/>
        <v>2.0316972178257468E+182</v>
      </c>
      <c r="AH296">
        <f t="shared" si="157"/>
        <v>2.0316992495239754E+182</v>
      </c>
      <c r="AI296">
        <f t="shared" si="158"/>
        <v>2.0316951861295499E+182</v>
      </c>
      <c r="AJ296">
        <f t="shared" si="159"/>
        <v>2.0316972127513553E+182</v>
      </c>
      <c r="AK296">
        <f t="shared" si="160"/>
        <v>418.7793584340568</v>
      </c>
      <c r="AL296" t="str">
        <f t="shared" si="161"/>
        <v/>
      </c>
    </row>
    <row r="297" spans="31:38" x14ac:dyDescent="0.25">
      <c r="AE297" t="s">
        <v>320</v>
      </c>
      <c r="AF297" s="4">
        <f t="shared" si="155"/>
        <v>418.7793584340568</v>
      </c>
      <c r="AG297">
        <f t="shared" si="156"/>
        <v>7.4741963525656483E+181</v>
      </c>
      <c r="AH297">
        <f t="shared" si="157"/>
        <v>7.4742038267657204E+181</v>
      </c>
      <c r="AI297">
        <f t="shared" si="158"/>
        <v>7.474188878373052E+181</v>
      </c>
      <c r="AJ297">
        <f t="shared" si="159"/>
        <v>7.4741963342074042E+181</v>
      </c>
      <c r="AK297">
        <f t="shared" si="160"/>
        <v>417.7793584316006</v>
      </c>
      <c r="AL297" t="str">
        <f t="shared" si="161"/>
        <v/>
      </c>
    </row>
    <row r="298" spans="31:38" x14ac:dyDescent="0.25">
      <c r="AE298" t="s">
        <v>321</v>
      </c>
      <c r="AF298" s="4">
        <f t="shared" si="155"/>
        <v>417.7793584316006</v>
      </c>
      <c r="AG298">
        <f t="shared" si="156"/>
        <v>2.7496031706338968E+181</v>
      </c>
      <c r="AH298">
        <f t="shared" si="157"/>
        <v>2.7496059202384353E+181</v>
      </c>
      <c r="AI298">
        <f t="shared" si="158"/>
        <v>2.749600421032108E+181</v>
      </c>
      <c r="AJ298">
        <f t="shared" si="159"/>
        <v>2.7496031636317853E+181</v>
      </c>
      <c r="AK298">
        <f t="shared" si="160"/>
        <v>416.77935842905401</v>
      </c>
      <c r="AL298" t="str">
        <f t="shared" si="161"/>
        <v/>
      </c>
    </row>
    <row r="299" spans="31:38" x14ac:dyDescent="0.25">
      <c r="AE299" t="s">
        <v>322</v>
      </c>
      <c r="AF299" s="4">
        <f t="shared" si="155"/>
        <v>416.77935842905401</v>
      </c>
      <c r="AG299">
        <f t="shared" si="156"/>
        <v>1.0115224752800959E+181</v>
      </c>
      <c r="AH299">
        <f t="shared" si="157"/>
        <v>1.0115234868030743E+181</v>
      </c>
      <c r="AI299">
        <f t="shared" si="158"/>
        <v>1.0115214637581287E+181</v>
      </c>
      <c r="AJ299">
        <f t="shared" si="159"/>
        <v>1.011522472781203E+181</v>
      </c>
      <c r="AK299">
        <f t="shared" si="160"/>
        <v>415.7793584265836</v>
      </c>
      <c r="AL299" t="str">
        <f t="shared" si="161"/>
        <v/>
      </c>
    </row>
    <row r="300" spans="31:38" x14ac:dyDescent="0.25">
      <c r="AE300" t="s">
        <v>323</v>
      </c>
      <c r="AF300" s="4">
        <f t="shared" si="155"/>
        <v>415.7793584265836</v>
      </c>
      <c r="AG300">
        <f t="shared" si="156"/>
        <v>3.7211832201910905E+180</v>
      </c>
      <c r="AH300">
        <f t="shared" si="157"/>
        <v>3.7211869413761619E+180</v>
      </c>
      <c r="AI300">
        <f t="shared" si="158"/>
        <v>3.7211794990097401E+180</v>
      </c>
      <c r="AJ300">
        <f t="shared" si="159"/>
        <v>3.7211832108779781E+180</v>
      </c>
      <c r="AK300">
        <f t="shared" si="160"/>
        <v>414.7793584240809</v>
      </c>
      <c r="AL300" t="str">
        <f t="shared" si="161"/>
        <v/>
      </c>
    </row>
    <row r="301" spans="31:38" x14ac:dyDescent="0.25">
      <c r="AE301" t="s">
        <v>324</v>
      </c>
      <c r="AF301" s="4">
        <f t="shared" si="155"/>
        <v>414.7793584240809</v>
      </c>
      <c r="AG301">
        <f t="shared" si="156"/>
        <v>1.3689468001143806E+180</v>
      </c>
      <c r="AH301">
        <f t="shared" si="157"/>
        <v>1.3689481690618617E+180</v>
      </c>
      <c r="AI301">
        <f t="shared" si="158"/>
        <v>1.3689454311682683E+180</v>
      </c>
      <c r="AJ301">
        <f t="shared" si="159"/>
        <v>1.3689467966745836E+180</v>
      </c>
      <c r="AK301">
        <f t="shared" si="160"/>
        <v>413.77935842156819</v>
      </c>
      <c r="AL301" t="str">
        <f t="shared" si="161"/>
        <v/>
      </c>
    </row>
    <row r="302" spans="31:38" x14ac:dyDescent="0.25">
      <c r="AE302" t="s">
        <v>325</v>
      </c>
      <c r="AF302" s="4">
        <f t="shared" si="155"/>
        <v>413.77935842156819</v>
      </c>
      <c r="AG302">
        <f t="shared" si="156"/>
        <v>5.0360738255409497E+179</v>
      </c>
      <c r="AH302">
        <f t="shared" si="157"/>
        <v>5.03607886161728E+179</v>
      </c>
      <c r="AI302">
        <f t="shared" si="158"/>
        <v>5.0360687894696546E+179</v>
      </c>
      <c r="AJ302">
        <f t="shared" si="159"/>
        <v>5.0360738127037798E+179</v>
      </c>
      <c r="AK302">
        <f t="shared" si="160"/>
        <v>412.77935841901916</v>
      </c>
      <c r="AL302" t="str">
        <f t="shared" si="161"/>
        <v/>
      </c>
    </row>
    <row r="303" spans="31:38" x14ac:dyDescent="0.25">
      <c r="AE303" t="s">
        <v>326</v>
      </c>
      <c r="AF303" s="4">
        <f t="shared" si="155"/>
        <v>412.77935841901916</v>
      </c>
      <c r="AG303">
        <f t="shared" si="156"/>
        <v>1.8526680199156269E+179</v>
      </c>
      <c r="AH303">
        <f t="shared" si="157"/>
        <v>1.8526698725845685E+179</v>
      </c>
      <c r="AI303">
        <f t="shared" si="158"/>
        <v>1.8526661672485381E+179</v>
      </c>
      <c r="AJ303">
        <f t="shared" si="159"/>
        <v>1.8526680151833754E+179</v>
      </c>
      <c r="AK303">
        <f t="shared" si="160"/>
        <v>411.77935841646485</v>
      </c>
      <c r="AL303" t="str">
        <f t="shared" si="161"/>
        <v/>
      </c>
    </row>
    <row r="304" spans="31:38" x14ac:dyDescent="0.25">
      <c r="AE304" t="s">
        <v>327</v>
      </c>
      <c r="AF304" s="4">
        <f t="shared" si="155"/>
        <v>411.77935841646485</v>
      </c>
      <c r="AG304">
        <f t="shared" si="156"/>
        <v>6.8155847410184781E+178</v>
      </c>
      <c r="AH304">
        <f t="shared" si="157"/>
        <v>6.8155915566066088E+178</v>
      </c>
      <c r="AI304">
        <f t="shared" si="158"/>
        <v>6.8155779254371612E+178</v>
      </c>
      <c r="AJ304">
        <f t="shared" si="159"/>
        <v>6.8155847237625307E+178</v>
      </c>
      <c r="AK304">
        <f t="shared" si="160"/>
        <v>410.77935841393298</v>
      </c>
      <c r="AL304" t="str">
        <f t="shared" si="161"/>
        <v/>
      </c>
    </row>
    <row r="305" spans="31:38" x14ac:dyDescent="0.25">
      <c r="AE305" t="s">
        <v>328</v>
      </c>
      <c r="AF305" s="4">
        <f t="shared" si="155"/>
        <v>410.77935841393298</v>
      </c>
      <c r="AG305">
        <f t="shared" si="156"/>
        <v>2.5073134994343134E+178</v>
      </c>
      <c r="AH305">
        <f t="shared" si="157"/>
        <v>2.5073160067490602E+178</v>
      </c>
      <c r="AI305">
        <f t="shared" si="158"/>
        <v>2.5073109921220741E+178</v>
      </c>
      <c r="AJ305">
        <f t="shared" si="159"/>
        <v>2.5073134930595019E+178</v>
      </c>
      <c r="AK305">
        <f t="shared" si="160"/>
        <v>409.77935841139049</v>
      </c>
      <c r="AL305" t="str">
        <f t="shared" si="161"/>
        <v/>
      </c>
    </row>
    <row r="306" spans="31:38" x14ac:dyDescent="0.25">
      <c r="AE306" t="s">
        <v>329</v>
      </c>
      <c r="AF306" s="4">
        <f t="shared" si="155"/>
        <v>409.77935841139049</v>
      </c>
      <c r="AG306">
        <f t="shared" si="156"/>
        <v>9.2238908666834136E+177</v>
      </c>
      <c r="AH306">
        <f t="shared" si="157"/>
        <v>9.2239000905788691E+177</v>
      </c>
      <c r="AI306">
        <f t="shared" si="158"/>
        <v>9.2238816427971827E+177</v>
      </c>
      <c r="AJ306">
        <f t="shared" si="159"/>
        <v>9.223890843191862E+177</v>
      </c>
      <c r="AK306">
        <f t="shared" si="160"/>
        <v>408.77935840884368</v>
      </c>
      <c r="AL306" t="str">
        <f t="shared" si="161"/>
        <v/>
      </c>
    </row>
    <row r="307" spans="31:38" x14ac:dyDescent="0.25">
      <c r="AE307" t="s">
        <v>330</v>
      </c>
      <c r="AF307" s="4">
        <f t="shared" si="155"/>
        <v>408.77935840884368</v>
      </c>
      <c r="AG307">
        <f t="shared" si="156"/>
        <v>3.3932798088198178E+177</v>
      </c>
      <c r="AH307">
        <f t="shared" si="157"/>
        <v>3.3932832021013144E+177</v>
      </c>
      <c r="AI307">
        <f t="shared" si="158"/>
        <v>3.3932764155417138E+177</v>
      </c>
      <c r="AJ307">
        <f t="shared" si="159"/>
        <v>3.3932798002694967E+177</v>
      </c>
      <c r="AK307">
        <f t="shared" si="160"/>
        <v>407.77935840632392</v>
      </c>
      <c r="AL307" t="str">
        <f t="shared" si="161"/>
        <v/>
      </c>
    </row>
    <row r="308" spans="31:38" x14ac:dyDescent="0.25">
      <c r="AE308" t="s">
        <v>331</v>
      </c>
      <c r="AF308" s="4">
        <f t="shared" si="155"/>
        <v>407.77935840632392</v>
      </c>
      <c r="AG308">
        <f t="shared" si="156"/>
        <v>1.2483178766615178E+177</v>
      </c>
      <c r="AH308">
        <f t="shared" si="157"/>
        <v>1.2483191249800155E+177</v>
      </c>
      <c r="AI308">
        <f t="shared" si="158"/>
        <v>1.2483166283442685E+177</v>
      </c>
      <c r="AJ308">
        <f t="shared" si="159"/>
        <v>1.2483178735176667E+177</v>
      </c>
      <c r="AK308">
        <f t="shared" si="160"/>
        <v>406.77935840380547</v>
      </c>
      <c r="AL308" t="str">
        <f t="shared" si="161"/>
        <v/>
      </c>
    </row>
    <row r="309" spans="31:38" x14ac:dyDescent="0.25">
      <c r="AE309" t="s">
        <v>332</v>
      </c>
      <c r="AF309" s="4">
        <f t="shared" si="155"/>
        <v>406.77935840380547</v>
      </c>
      <c r="AG309">
        <f t="shared" si="156"/>
        <v>4.5923048171401271E+176</v>
      </c>
      <c r="AH309">
        <f t="shared" si="157"/>
        <v>4.5923094094472285E+176</v>
      </c>
      <c r="AI309">
        <f t="shared" si="158"/>
        <v>4.5923002248376173E+176</v>
      </c>
      <c r="AJ309">
        <f t="shared" si="159"/>
        <v>4.5923048055663626E+176</v>
      </c>
      <c r="AK309">
        <f t="shared" si="160"/>
        <v>405.77935840128521</v>
      </c>
      <c r="AL309" t="str">
        <f t="shared" si="161"/>
        <v/>
      </c>
    </row>
    <row r="310" spans="31:38" x14ac:dyDescent="0.25">
      <c r="AE310" t="s">
        <v>333</v>
      </c>
      <c r="AF310" s="4">
        <f t="shared" si="155"/>
        <v>405.77935840128521</v>
      </c>
      <c r="AG310">
        <f t="shared" si="156"/>
        <v>1.6894145255606575E+176</v>
      </c>
      <c r="AH310">
        <f t="shared" si="157"/>
        <v>1.6894162149760235E+176</v>
      </c>
      <c r="AI310">
        <f t="shared" si="158"/>
        <v>1.6894128361469808E+176</v>
      </c>
      <c r="AJ310">
        <f t="shared" si="159"/>
        <v>1.689414521310474E+176</v>
      </c>
      <c r="AK310">
        <f t="shared" si="160"/>
        <v>404.77935839876943</v>
      </c>
      <c r="AL310" t="str">
        <f t="shared" si="161"/>
        <v/>
      </c>
    </row>
    <row r="311" spans="31:38" x14ac:dyDescent="0.25">
      <c r="AE311" t="s">
        <v>334</v>
      </c>
      <c r="AF311" s="4">
        <f t="shared" si="155"/>
        <v>404.77935839876943</v>
      </c>
      <c r="AG311">
        <f t="shared" si="156"/>
        <v>6.21500870006615E+175</v>
      </c>
      <c r="AH311">
        <f t="shared" si="157"/>
        <v>6.2150149150779421E+175</v>
      </c>
      <c r="AI311">
        <f t="shared" si="158"/>
        <v>6.2150024850605734E+175</v>
      </c>
      <c r="AJ311">
        <f t="shared" si="159"/>
        <v>6.2150086843433854E+175</v>
      </c>
      <c r="AK311">
        <f t="shared" si="160"/>
        <v>403.77935839623962</v>
      </c>
      <c r="AL311" t="str">
        <f t="shared" si="161"/>
        <v/>
      </c>
    </row>
    <row r="312" spans="31:38" x14ac:dyDescent="0.25">
      <c r="AE312" t="s">
        <v>335</v>
      </c>
      <c r="AF312" s="4">
        <f t="shared" si="155"/>
        <v>403.77935839623962</v>
      </c>
      <c r="AG312">
        <f t="shared" si="156"/>
        <v>2.2863739216718814E+175</v>
      </c>
      <c r="AH312">
        <f t="shared" si="157"/>
        <v>2.2863762080469405E+175</v>
      </c>
      <c r="AI312">
        <f t="shared" si="158"/>
        <v>2.2863716352991087E+175</v>
      </c>
      <c r="AJ312">
        <f t="shared" si="159"/>
        <v>2.2863739159048099E+175</v>
      </c>
      <c r="AK312">
        <f t="shared" si="160"/>
        <v>402.77935839371725</v>
      </c>
      <c r="AL312" t="str">
        <f t="shared" si="161"/>
        <v/>
      </c>
    </row>
    <row r="313" spans="31:38" x14ac:dyDescent="0.25">
      <c r="AE313" t="s">
        <v>336</v>
      </c>
      <c r="AF313" s="4">
        <f t="shared" si="155"/>
        <v>402.77935839371725</v>
      </c>
      <c r="AG313">
        <f t="shared" si="156"/>
        <v>8.4110995849202025E+174</v>
      </c>
      <c r="AH313">
        <f t="shared" si="157"/>
        <v>8.4111079960239718E+174</v>
      </c>
      <c r="AI313">
        <f t="shared" si="158"/>
        <v>8.4110911738248458E+174</v>
      </c>
      <c r="AJ313">
        <f t="shared" si="159"/>
        <v>8.4110995630162021E+174</v>
      </c>
      <c r="AK313">
        <f t="shared" si="160"/>
        <v>401.77935839111308</v>
      </c>
      <c r="AL313" t="str">
        <f t="shared" si="161"/>
        <v/>
      </c>
    </row>
    <row r="314" spans="31:38" x14ac:dyDescent="0.25">
      <c r="AE314" t="s">
        <v>337</v>
      </c>
      <c r="AF314" s="4">
        <f t="shared" si="155"/>
        <v>401.77935839111308</v>
      </c>
      <c r="AG314">
        <f t="shared" si="156"/>
        <v>3.0942706068797957E+174</v>
      </c>
      <c r="AH314">
        <f t="shared" si="157"/>
        <v>3.0942737011519419E+174</v>
      </c>
      <c r="AI314">
        <f t="shared" si="158"/>
        <v>3.0942675126107438E+174</v>
      </c>
      <c r="AJ314">
        <f t="shared" si="159"/>
        <v>3.0942705990727023E+174</v>
      </c>
      <c r="AK314">
        <f t="shared" si="160"/>
        <v>400.77935838859003</v>
      </c>
      <c r="AL314" t="str">
        <f t="shared" si="161"/>
        <v/>
      </c>
    </row>
    <row r="315" spans="31:38" x14ac:dyDescent="0.25">
      <c r="AE315" t="s">
        <v>338</v>
      </c>
      <c r="AF315" s="4">
        <f t="shared" si="155"/>
        <v>400.77935838859003</v>
      </c>
      <c r="AG315">
        <f t="shared" si="156"/>
        <v>1.1383185388201221E+174</v>
      </c>
      <c r="AH315">
        <f t="shared" si="157"/>
        <v>1.1383196771392271E+174</v>
      </c>
      <c r="AI315">
        <f t="shared" si="158"/>
        <v>1.1383174005021553E+174</v>
      </c>
      <c r="AJ315">
        <f t="shared" si="159"/>
        <v>1.1383185358904597E+174</v>
      </c>
      <c r="AK315">
        <f t="shared" si="160"/>
        <v>399.77935838601633</v>
      </c>
      <c r="AL315" t="str">
        <f t="shared" si="161"/>
        <v/>
      </c>
    </row>
    <row r="316" spans="31:38" x14ac:dyDescent="0.25">
      <c r="AE316" t="s">
        <v>339</v>
      </c>
      <c r="AF316" s="4">
        <f t="shared" si="155"/>
        <v>399.77935838601633</v>
      </c>
      <c r="AG316">
        <f t="shared" si="156"/>
        <v>4.187639868584666E+173</v>
      </c>
      <c r="AH316">
        <f t="shared" si="157"/>
        <v>4.1876440562266184E+173</v>
      </c>
      <c r="AI316">
        <f t="shared" si="158"/>
        <v>4.1876356809469023E+173</v>
      </c>
      <c r="AJ316">
        <f t="shared" si="159"/>
        <v>4.1876398580419866E+173</v>
      </c>
      <c r="AK316">
        <f t="shared" si="160"/>
        <v>398.77935838349873</v>
      </c>
      <c r="AL316" t="str">
        <f t="shared" si="161"/>
        <v/>
      </c>
    </row>
    <row r="317" spans="31:38" x14ac:dyDescent="0.25">
      <c r="AE317" t="s">
        <v>340</v>
      </c>
      <c r="AF317" s="4">
        <f t="shared" si="155"/>
        <v>398.77935838349873</v>
      </c>
      <c r="AG317">
        <f t="shared" si="156"/>
        <v>1.5405466108037068E+173</v>
      </c>
      <c r="AH317">
        <f t="shared" si="157"/>
        <v>1.5405481513510838E+173</v>
      </c>
      <c r="AI317">
        <f t="shared" si="158"/>
        <v>1.54054507025787E+173</v>
      </c>
      <c r="AJ317">
        <f t="shared" si="159"/>
        <v>1.5405466068664076E+173</v>
      </c>
      <c r="AK317">
        <f t="shared" si="160"/>
        <v>397.77935838094294</v>
      </c>
      <c r="AL317" t="str">
        <f t="shared" si="161"/>
        <v/>
      </c>
    </row>
    <row r="318" spans="31:38" x14ac:dyDescent="0.25">
      <c r="AE318" t="s">
        <v>341</v>
      </c>
      <c r="AF318" s="4">
        <f t="shared" si="155"/>
        <v>397.77935838094294</v>
      </c>
      <c r="AG318">
        <f t="shared" si="156"/>
        <v>5.667354248325682E+172</v>
      </c>
      <c r="AH318">
        <f t="shared" si="157"/>
        <v>5.6673599156827494E+172</v>
      </c>
      <c r="AI318">
        <f t="shared" si="158"/>
        <v>5.6673485809742816E+172</v>
      </c>
      <c r="AJ318">
        <f t="shared" si="159"/>
        <v>5.6673542339165836E+172</v>
      </c>
      <c r="AK318">
        <f t="shared" si="160"/>
        <v>396.77935837840045</v>
      </c>
      <c r="AL318" t="str">
        <f t="shared" si="161"/>
        <v/>
      </c>
    </row>
    <row r="319" spans="31:38" x14ac:dyDescent="0.25">
      <c r="AE319" t="s">
        <v>342</v>
      </c>
      <c r="AF319" s="4">
        <f t="shared" si="155"/>
        <v>396.77935837840045</v>
      </c>
      <c r="AG319">
        <f t="shared" si="156"/>
        <v>2.0849031084938011E+172</v>
      </c>
      <c r="AH319">
        <f t="shared" si="157"/>
        <v>2.0849051933979466E+172</v>
      </c>
      <c r="AI319">
        <f t="shared" si="158"/>
        <v>2.0849010235917401E+172</v>
      </c>
      <c r="AJ319">
        <f t="shared" si="159"/>
        <v>2.0849031032640534E+172</v>
      </c>
      <c r="AK319">
        <f t="shared" si="160"/>
        <v>395.77935837589206</v>
      </c>
      <c r="AL319" t="str">
        <f t="shared" si="161"/>
        <v/>
      </c>
    </row>
    <row r="320" spans="31:38" x14ac:dyDescent="0.25">
      <c r="AE320" t="s">
        <v>343</v>
      </c>
      <c r="AF320" s="4">
        <f t="shared" si="155"/>
        <v>395.77935837589206</v>
      </c>
      <c r="AG320">
        <f t="shared" si="156"/>
        <v>7.6699298852538772E+171</v>
      </c>
      <c r="AH320">
        <f t="shared" si="157"/>
        <v>7.6699375551875786E+171</v>
      </c>
      <c r="AI320">
        <f t="shared" si="158"/>
        <v>7.6699222153278463E+171</v>
      </c>
      <c r="AJ320">
        <f t="shared" si="159"/>
        <v>7.6699298661827828E+171</v>
      </c>
      <c r="AK320">
        <f t="shared" si="160"/>
        <v>394.77935837340556</v>
      </c>
      <c r="AL320" t="str">
        <f t="shared" si="161"/>
        <v/>
      </c>
    </row>
    <row r="321" spans="31:38" x14ac:dyDescent="0.25">
      <c r="AE321" t="s">
        <v>344</v>
      </c>
      <c r="AF321" s="4">
        <f t="shared" si="155"/>
        <v>394.77935837340556</v>
      </c>
      <c r="AG321">
        <f t="shared" si="156"/>
        <v>2.8216095129954043E+171</v>
      </c>
      <c r="AH321">
        <f t="shared" si="157"/>
        <v>2.8216123346063212E+171</v>
      </c>
      <c r="AI321">
        <f t="shared" si="158"/>
        <v>2.8216066913873093E+171</v>
      </c>
      <c r="AJ321">
        <f t="shared" si="159"/>
        <v>2.8216095059273975E+171</v>
      </c>
      <c r="AK321">
        <f t="shared" si="160"/>
        <v>393.77935837090058</v>
      </c>
      <c r="AL321" t="str">
        <f t="shared" si="161"/>
        <v/>
      </c>
    </row>
    <row r="322" spans="31:38" x14ac:dyDescent="0.25">
      <c r="AE322" t="s">
        <v>345</v>
      </c>
      <c r="AF322" s="4">
        <f t="shared" si="155"/>
        <v>393.77935837090058</v>
      </c>
      <c r="AG322">
        <f t="shared" si="156"/>
        <v>1.0380121282445795E+171</v>
      </c>
      <c r="AH322">
        <f t="shared" si="157"/>
        <v>1.0380131662572242E+171</v>
      </c>
      <c r="AI322">
        <f t="shared" si="158"/>
        <v>1.0380110902329729E+171</v>
      </c>
      <c r="AJ322">
        <f t="shared" si="159"/>
        <v>1.0380121256211596E+171</v>
      </c>
      <c r="AK322">
        <f t="shared" si="160"/>
        <v>392.77935836837321</v>
      </c>
      <c r="AL322" t="str">
        <f t="shared" si="161"/>
        <v/>
      </c>
    </row>
    <row r="323" spans="31:38" x14ac:dyDescent="0.25">
      <c r="AE323" t="s">
        <v>346</v>
      </c>
      <c r="AF323" s="4">
        <f t="shared" si="155"/>
        <v>392.77935836837321</v>
      </c>
      <c r="AG323">
        <f t="shared" si="156"/>
        <v>3.8186332070268475E+170</v>
      </c>
      <c r="AH323">
        <f t="shared" si="157"/>
        <v>3.8186370256619545E+170</v>
      </c>
      <c r="AI323">
        <f t="shared" si="158"/>
        <v>3.8186293883955596E+170</v>
      </c>
      <c r="AJ323">
        <f t="shared" si="159"/>
        <v>3.8186331974426771E+170</v>
      </c>
      <c r="AK323">
        <f t="shared" si="160"/>
        <v>391.77935836586335</v>
      </c>
      <c r="AL323" t="str">
        <f t="shared" si="161"/>
        <v/>
      </c>
    </row>
    <row r="324" spans="31:38" x14ac:dyDescent="0.25">
      <c r="AE324" t="s">
        <v>347</v>
      </c>
      <c r="AF324" s="4">
        <f t="shared" si="155"/>
        <v>391.77935836586335</v>
      </c>
      <c r="AG324">
        <f t="shared" si="156"/>
        <v>1.4047966467139003E+170</v>
      </c>
      <c r="AH324">
        <f t="shared" si="157"/>
        <v>1.404798051511246E+170</v>
      </c>
      <c r="AI324">
        <f t="shared" si="158"/>
        <v>1.4047952419179596E+170</v>
      </c>
      <c r="AJ324">
        <f t="shared" si="159"/>
        <v>1.4047966431957251E+170</v>
      </c>
      <c r="AK324">
        <f t="shared" si="160"/>
        <v>390.77935836335894</v>
      </c>
      <c r="AL324" t="str">
        <f t="shared" si="161"/>
        <v/>
      </c>
    </row>
    <row r="325" spans="31:38" x14ac:dyDescent="0.25">
      <c r="AE325" t="s">
        <v>348</v>
      </c>
      <c r="AF325" s="4">
        <f t="shared" si="155"/>
        <v>390.77935836335894</v>
      </c>
      <c r="AG325">
        <f t="shared" si="156"/>
        <v>5.1679580405835853E+169</v>
      </c>
      <c r="AH325">
        <f t="shared" si="157"/>
        <v>5.1679632085441966E+169</v>
      </c>
      <c r="AI325">
        <f t="shared" si="158"/>
        <v>5.1679528726281419E+169</v>
      </c>
      <c r="AJ325">
        <f t="shared" si="159"/>
        <v>5.1679580273476433E+169</v>
      </c>
      <c r="AK325">
        <f t="shared" si="160"/>
        <v>389.7793583607978</v>
      </c>
      <c r="AL325" t="str">
        <f t="shared" si="161"/>
        <v/>
      </c>
    </row>
    <row r="326" spans="31:38" x14ac:dyDescent="0.25">
      <c r="AE326" t="s">
        <v>349</v>
      </c>
      <c r="AF326" s="4">
        <f t="shared" si="155"/>
        <v>389.7793583607978</v>
      </c>
      <c r="AG326">
        <f t="shared" si="156"/>
        <v>1.9011855110981547E+169</v>
      </c>
      <c r="AH326">
        <f t="shared" si="157"/>
        <v>1.9011874122846117E+169</v>
      </c>
      <c r="AI326">
        <f t="shared" si="158"/>
        <v>1.9011836099135989E+169</v>
      </c>
      <c r="AJ326">
        <f t="shared" si="159"/>
        <v>1.9011855064066219E+169</v>
      </c>
      <c r="AK326">
        <f t="shared" si="160"/>
        <v>388.77935835833011</v>
      </c>
      <c r="AL326" t="str">
        <f t="shared" si="161"/>
        <v/>
      </c>
    </row>
    <row r="327" spans="31:38" x14ac:dyDescent="0.25">
      <c r="AE327" t="s">
        <v>350</v>
      </c>
      <c r="AF327" s="4">
        <f t="shared" si="155"/>
        <v>388.77935835833011</v>
      </c>
      <c r="AG327">
        <f t="shared" si="156"/>
        <v>6.9940706166011472E+168</v>
      </c>
      <c r="AH327">
        <f t="shared" si="157"/>
        <v>6.9940776106752431E+168</v>
      </c>
      <c r="AI327">
        <f t="shared" si="158"/>
        <v>6.9940636225340452E+168</v>
      </c>
      <c r="AJ327">
        <f t="shared" si="159"/>
        <v>6.9940705989448231E+168</v>
      </c>
      <c r="AK327">
        <f t="shared" si="160"/>
        <v>387.77935835580564</v>
      </c>
      <c r="AL327" t="str">
        <f t="shared" si="161"/>
        <v/>
      </c>
    </row>
    <row r="328" spans="31:38" x14ac:dyDescent="0.25">
      <c r="AE328" t="s">
        <v>351</v>
      </c>
      <c r="AF328" s="4">
        <f t="shared" si="155"/>
        <v>387.77935835580564</v>
      </c>
      <c r="AG328">
        <f t="shared" si="156"/>
        <v>2.5729747834534298E+168</v>
      </c>
      <c r="AH328">
        <f t="shared" si="157"/>
        <v>2.5729773564294929E+168</v>
      </c>
      <c r="AI328">
        <f t="shared" si="158"/>
        <v>2.5729722104799393E+168</v>
      </c>
      <c r="AJ328">
        <f t="shared" si="159"/>
        <v>2.5729747767955485E+168</v>
      </c>
      <c r="AK328">
        <f t="shared" si="160"/>
        <v>386.77935835321802</v>
      </c>
      <c r="AL328" t="str">
        <f t="shared" si="161"/>
        <v/>
      </c>
    </row>
    <row r="329" spans="31:38" x14ac:dyDescent="0.25">
      <c r="AE329" t="s">
        <v>352</v>
      </c>
      <c r="AF329" s="4">
        <f t="shared" si="155"/>
        <v>386.77935835321802</v>
      </c>
      <c r="AG329">
        <f t="shared" si="156"/>
        <v>9.4654452303575708E+167</v>
      </c>
      <c r="AH329">
        <f t="shared" si="157"/>
        <v>9.465454695807511E+167</v>
      </c>
      <c r="AI329">
        <f t="shared" si="158"/>
        <v>9.4654357649170977E+167</v>
      </c>
      <c r="AJ329">
        <f t="shared" si="159"/>
        <v>9.4654452066146097E+167</v>
      </c>
      <c r="AK329">
        <f t="shared" si="160"/>
        <v>385.77935835070963</v>
      </c>
      <c r="AL329" t="str">
        <f t="shared" si="161"/>
        <v/>
      </c>
    </row>
    <row r="330" spans="31:38" x14ac:dyDescent="0.25">
      <c r="AE330" t="s">
        <v>353</v>
      </c>
      <c r="AF330" s="4">
        <f t="shared" si="155"/>
        <v>385.77935835070963</v>
      </c>
      <c r="AG330">
        <f t="shared" si="156"/>
        <v>3.4821426930482782E+167</v>
      </c>
      <c r="AH330">
        <f t="shared" si="157"/>
        <v>3.4821461751927038E+167</v>
      </c>
      <c r="AI330">
        <f t="shared" si="158"/>
        <v>3.4821392109073349E+167</v>
      </c>
      <c r="AJ330">
        <f t="shared" si="159"/>
        <v>3.482142684443311E+167</v>
      </c>
      <c r="AK330">
        <f t="shared" si="160"/>
        <v>384.77935834823847</v>
      </c>
      <c r="AL330" t="str">
        <f t="shared" si="161"/>
        <v/>
      </c>
    </row>
    <row r="331" spans="31:38" x14ac:dyDescent="0.25">
      <c r="AE331" t="s">
        <v>354</v>
      </c>
      <c r="AF331" s="4">
        <f t="shared" si="155"/>
        <v>384.77935834823847</v>
      </c>
      <c r="AG331">
        <f t="shared" si="156"/>
        <v>1.281008704832252E+167</v>
      </c>
      <c r="AH331">
        <f t="shared" si="157"/>
        <v>1.2810099858415942E+167</v>
      </c>
      <c r="AI331">
        <f t="shared" si="158"/>
        <v>1.2810074238241911E+167</v>
      </c>
      <c r="AJ331">
        <f t="shared" si="159"/>
        <v>1.2810087015747117E+167</v>
      </c>
      <c r="AK331">
        <f t="shared" si="160"/>
        <v>383.77935834569553</v>
      </c>
      <c r="AL331" t="str">
        <f t="shared" si="161"/>
        <v/>
      </c>
    </row>
    <row r="332" spans="31:38" x14ac:dyDescent="0.25">
      <c r="AE332" t="s">
        <v>355</v>
      </c>
      <c r="AF332" s="4">
        <f t="shared" si="155"/>
        <v>383.77935834569553</v>
      </c>
      <c r="AG332">
        <f t="shared" si="156"/>
        <v>4.7125676527106097E+166</v>
      </c>
      <c r="AH332">
        <f t="shared" si="157"/>
        <v>4.7125723652806063E+166</v>
      </c>
      <c r="AI332">
        <f t="shared" si="158"/>
        <v>4.7125629401453249E+166</v>
      </c>
      <c r="AJ332">
        <f t="shared" si="159"/>
        <v>4.7125676406914991E+166</v>
      </c>
      <c r="AK332">
        <f t="shared" si="160"/>
        <v>382.77935834314508</v>
      </c>
      <c r="AL332" t="str">
        <f t="shared" si="161"/>
        <v/>
      </c>
    </row>
    <row r="333" spans="31:38" x14ac:dyDescent="0.25">
      <c r="AE333" t="s">
        <v>356</v>
      </c>
      <c r="AF333" s="4">
        <f t="shared" si="155"/>
        <v>382.77935834314508</v>
      </c>
      <c r="AG333">
        <f t="shared" si="156"/>
        <v>1.7336567501401888E+166</v>
      </c>
      <c r="AH333">
        <f t="shared" si="157"/>
        <v>1.7336584837978015E+166</v>
      </c>
      <c r="AI333">
        <f t="shared" si="158"/>
        <v>1.7336550164843099E+166</v>
      </c>
      <c r="AJ333">
        <f t="shared" si="159"/>
        <v>1.7336567457768209E+166</v>
      </c>
      <c r="AK333">
        <f t="shared" si="160"/>
        <v>381.77935834062822</v>
      </c>
      <c r="AL333" t="str">
        <f t="shared" si="161"/>
        <v/>
      </c>
    </row>
    <row r="334" spans="31:38" x14ac:dyDescent="0.25">
      <c r="AE334" t="s">
        <v>357</v>
      </c>
      <c r="AF334" s="4">
        <f t="shared" si="155"/>
        <v>381.77935834062822</v>
      </c>
      <c r="AG334">
        <f t="shared" si="156"/>
        <v>6.3777667481947939E+165</v>
      </c>
      <c r="AH334">
        <f t="shared" si="157"/>
        <v>6.377773125964715E+165</v>
      </c>
      <c r="AI334">
        <f t="shared" si="158"/>
        <v>6.377760370431251E+165</v>
      </c>
      <c r="AJ334">
        <f t="shared" si="159"/>
        <v>6.3777667319984164E+165</v>
      </c>
      <c r="AK334">
        <f t="shared" si="160"/>
        <v>380.77935833808874</v>
      </c>
      <c r="AL334" t="str">
        <f t="shared" si="161"/>
        <v/>
      </c>
    </row>
    <row r="335" spans="31:38" x14ac:dyDescent="0.25">
      <c r="AE335" t="s">
        <v>358</v>
      </c>
      <c r="AF335" s="4">
        <f t="shared" si="155"/>
        <v>380.77935833808874</v>
      </c>
      <c r="AG335">
        <f t="shared" si="156"/>
        <v>2.3462492612894553E+165</v>
      </c>
      <c r="AH335">
        <f t="shared" si="157"/>
        <v>2.3462516075398836E+165</v>
      </c>
      <c r="AI335">
        <f t="shared" si="158"/>
        <v>2.3462469150413728E+165</v>
      </c>
      <c r="AJ335">
        <f t="shared" si="159"/>
        <v>2.3462492553900714E+165</v>
      </c>
      <c r="AK335">
        <f t="shared" si="160"/>
        <v>379.77935833557433</v>
      </c>
      <c r="AL335" t="str">
        <f t="shared" si="161"/>
        <v/>
      </c>
    </row>
    <row r="336" spans="31:38" x14ac:dyDescent="0.25">
      <c r="AE336" t="s">
        <v>359</v>
      </c>
      <c r="AF336" s="4">
        <f t="shared" ref="AF336:AF399" si="162">AK335</f>
        <v>379.77935833557433</v>
      </c>
      <c r="AG336">
        <f t="shared" ref="AG336:AG399" si="163">EXP(AF336)-ATAN(AF336)-1.5</f>
        <v>8.6313686492179272E+164</v>
      </c>
      <c r="AH336">
        <f t="shared" ref="AH336:AH399" si="164">EXP(AF336+E$6)-ATAN(AF336+E$6)-1.5</f>
        <v>8.6313772805908696E+164</v>
      </c>
      <c r="AI336">
        <f t="shared" ref="AI336:AI399" si="165">EXP(AF336-E$6)-ATAN(AF336-E$6)-1.5</f>
        <v>8.6313600178536152E+164</v>
      </c>
      <c r="AJ336">
        <f t="shared" ref="AJ336:AJ399" si="166">(AH336-AI336)/(E$6*2)</f>
        <v>8.6313686271785779E+164</v>
      </c>
      <c r="AK336">
        <f t="shared" ref="AK336:AK399" si="167">AF336-AG336/AJ336</f>
        <v>378.77935833302092</v>
      </c>
      <c r="AL336" t="str">
        <f t="shared" ref="AL336:AL399" si="168">IF(AF337=AF336,"STOP","")</f>
        <v/>
      </c>
    </row>
    <row r="337" spans="31:38" x14ac:dyDescent="0.25">
      <c r="AE337" t="s">
        <v>360</v>
      </c>
      <c r="AF337" s="4">
        <f t="shared" si="162"/>
        <v>378.77935833302092</v>
      </c>
      <c r="AG337">
        <f t="shared" si="163"/>
        <v>3.1753030671111588E+164</v>
      </c>
      <c r="AH337">
        <f t="shared" si="164"/>
        <v>3.1753062424158053E+164</v>
      </c>
      <c r="AI337">
        <f t="shared" si="165"/>
        <v>3.175299891809687E+164</v>
      </c>
      <c r="AJ337">
        <f t="shared" si="166"/>
        <v>3.17530305913032E+164</v>
      </c>
      <c r="AK337">
        <f t="shared" si="167"/>
        <v>377.77935833050753</v>
      </c>
      <c r="AL337" t="str">
        <f t="shared" si="168"/>
        <v/>
      </c>
    </row>
    <row r="338" spans="31:38" x14ac:dyDescent="0.25">
      <c r="AE338" t="s">
        <v>361</v>
      </c>
      <c r="AF338" s="4">
        <f t="shared" si="162"/>
        <v>377.77935833050753</v>
      </c>
      <c r="AG338">
        <f t="shared" si="163"/>
        <v>1.1681287149428585E+164</v>
      </c>
      <c r="AH338">
        <f t="shared" si="164"/>
        <v>1.1681298830721546E+164</v>
      </c>
      <c r="AI338">
        <f t="shared" si="165"/>
        <v>1.1681275468147305E+164</v>
      </c>
      <c r="AJ338">
        <f t="shared" si="166"/>
        <v>1.1681287120493441E+164</v>
      </c>
      <c r="AK338">
        <f t="shared" si="167"/>
        <v>376.77935832803047</v>
      </c>
      <c r="AL338" t="str">
        <f t="shared" si="168"/>
        <v/>
      </c>
    </row>
    <row r="339" spans="31:38" x14ac:dyDescent="0.25">
      <c r="AE339" t="s">
        <v>362</v>
      </c>
      <c r="AF339" s="4">
        <f t="shared" si="162"/>
        <v>376.77935832803047</v>
      </c>
      <c r="AG339">
        <f t="shared" si="163"/>
        <v>4.2973053780502303E+163</v>
      </c>
      <c r="AH339">
        <f t="shared" si="164"/>
        <v>4.2973096753577464E+163</v>
      </c>
      <c r="AI339">
        <f t="shared" si="165"/>
        <v>4.2973010807470118E+163</v>
      </c>
      <c r="AJ339">
        <f t="shared" si="166"/>
        <v>4.2973053673045271E+163</v>
      </c>
      <c r="AK339">
        <f t="shared" si="167"/>
        <v>375.77935832552993</v>
      </c>
      <c r="AL339" t="str">
        <f t="shared" si="168"/>
        <v/>
      </c>
    </row>
    <row r="340" spans="31:38" x14ac:dyDescent="0.25">
      <c r="AE340" t="s">
        <v>363</v>
      </c>
      <c r="AF340" s="4">
        <f t="shared" si="162"/>
        <v>375.77935832552993</v>
      </c>
      <c r="AG340">
        <f t="shared" si="163"/>
        <v>1.5808902970670697E+163</v>
      </c>
      <c r="AH340">
        <f t="shared" si="164"/>
        <v>1.5808918779581534E+163</v>
      </c>
      <c r="AI340">
        <f t="shared" si="165"/>
        <v>1.5808887161775672E+163</v>
      </c>
      <c r="AJ340">
        <f t="shared" si="166"/>
        <v>1.5808902931226926E+163</v>
      </c>
      <c r="AK340">
        <f t="shared" si="167"/>
        <v>374.7793583230349</v>
      </c>
      <c r="AL340" t="str">
        <f t="shared" si="168"/>
        <v/>
      </c>
    </row>
    <row r="341" spans="31:38" x14ac:dyDescent="0.25">
      <c r="AE341" t="s">
        <v>364</v>
      </c>
      <c r="AF341" s="4">
        <f t="shared" si="162"/>
        <v>374.7793583230349</v>
      </c>
      <c r="AG341">
        <f t="shared" si="163"/>
        <v>5.8157703758733802E+162</v>
      </c>
      <c r="AH341">
        <f t="shared" si="164"/>
        <v>5.8157761916466491E+162</v>
      </c>
      <c r="AI341">
        <f t="shared" si="165"/>
        <v>5.8157645601059267E+162</v>
      </c>
      <c r="AJ341">
        <f t="shared" si="166"/>
        <v>5.8157703611872948E+162</v>
      </c>
      <c r="AK341">
        <f t="shared" si="167"/>
        <v>373.77935832050969</v>
      </c>
      <c r="AL341" t="str">
        <f t="shared" si="168"/>
        <v/>
      </c>
    </row>
    <row r="342" spans="31:38" x14ac:dyDescent="0.25">
      <c r="AE342" t="s">
        <v>365</v>
      </c>
      <c r="AF342" s="4">
        <f t="shared" si="162"/>
        <v>373.77935832050969</v>
      </c>
      <c r="AG342">
        <f t="shared" si="163"/>
        <v>2.139502350455031E+162</v>
      </c>
      <c r="AH342">
        <f t="shared" si="164"/>
        <v>2.139504489958446E+162</v>
      </c>
      <c r="AI342">
        <f t="shared" si="165"/>
        <v>2.1395002109537558E+162</v>
      </c>
      <c r="AJ342">
        <f t="shared" si="166"/>
        <v>2.1395023450853598E+162</v>
      </c>
      <c r="AK342">
        <f t="shared" si="167"/>
        <v>372.77935831799994</v>
      </c>
      <c r="AL342" t="str">
        <f t="shared" si="168"/>
        <v/>
      </c>
    </row>
    <row r="343" spans="31:38" x14ac:dyDescent="0.25">
      <c r="AE343" t="s">
        <v>366</v>
      </c>
      <c r="AF343" s="4">
        <f t="shared" si="162"/>
        <v>372.77935831799994</v>
      </c>
      <c r="AG343">
        <f t="shared" si="163"/>
        <v>7.8707892709501237E+161</v>
      </c>
      <c r="AH343">
        <f t="shared" si="164"/>
        <v>7.87079714174331E+161</v>
      </c>
      <c r="AI343">
        <f t="shared" si="165"/>
        <v>7.8707814001648082E+161</v>
      </c>
      <c r="AJ343">
        <f t="shared" si="166"/>
        <v>7.8707892509121112E+161</v>
      </c>
      <c r="AK343">
        <f t="shared" si="167"/>
        <v>371.77935831545409</v>
      </c>
      <c r="AL343" t="str">
        <f t="shared" si="168"/>
        <v/>
      </c>
    </row>
    <row r="344" spans="31:38" x14ac:dyDescent="0.25">
      <c r="AE344" t="s">
        <v>367</v>
      </c>
      <c r="AF344" s="4">
        <f t="shared" si="162"/>
        <v>371.77935831545409</v>
      </c>
      <c r="AG344">
        <f t="shared" si="163"/>
        <v>2.8955015512038135E+161</v>
      </c>
      <c r="AH344">
        <f t="shared" si="164"/>
        <v>2.8955044467068054E+161</v>
      </c>
      <c r="AI344">
        <f t="shared" si="165"/>
        <v>2.8954986557037177E+161</v>
      </c>
      <c r="AJ344">
        <f t="shared" si="166"/>
        <v>2.8955015438406821E+161</v>
      </c>
      <c r="AK344">
        <f t="shared" si="167"/>
        <v>370.77935831291114</v>
      </c>
      <c r="AL344" t="str">
        <f t="shared" si="168"/>
        <v/>
      </c>
    </row>
    <row r="345" spans="31:38" x14ac:dyDescent="0.25">
      <c r="AE345" t="s">
        <v>368</v>
      </c>
      <c r="AF345" s="4">
        <f t="shared" si="162"/>
        <v>370.77935831291114</v>
      </c>
      <c r="AG345">
        <f t="shared" si="163"/>
        <v>1.0651954898591675E+161</v>
      </c>
      <c r="AH345">
        <f t="shared" si="164"/>
        <v>1.0651965550551873E+161</v>
      </c>
      <c r="AI345">
        <f t="shared" si="165"/>
        <v>1.0651944246642129E+161</v>
      </c>
      <c r="AJ345">
        <f t="shared" si="166"/>
        <v>1.0651954872057704E+161</v>
      </c>
      <c r="AK345">
        <f t="shared" si="167"/>
        <v>369.77935831042015</v>
      </c>
      <c r="AL345" t="str">
        <f t="shared" si="168"/>
        <v/>
      </c>
    </row>
    <row r="346" spans="31:38" x14ac:dyDescent="0.25">
      <c r="AE346" t="s">
        <v>369</v>
      </c>
      <c r="AF346" s="4">
        <f t="shared" si="162"/>
        <v>369.77935831042015</v>
      </c>
      <c r="AG346">
        <f t="shared" si="163"/>
        <v>3.9186352057160229E+160</v>
      </c>
      <c r="AH346">
        <f t="shared" si="164"/>
        <v>3.9186391243531777E+160</v>
      </c>
      <c r="AI346">
        <f t="shared" si="165"/>
        <v>3.9186312870827865E+160</v>
      </c>
      <c r="AJ346">
        <f t="shared" si="166"/>
        <v>3.9186351955748841E+160</v>
      </c>
      <c r="AK346">
        <f t="shared" si="167"/>
        <v>368.77935830783224</v>
      </c>
      <c r="AL346" t="str">
        <f t="shared" si="168"/>
        <v/>
      </c>
    </row>
    <row r="347" spans="31:38" x14ac:dyDescent="0.25">
      <c r="AE347" t="s">
        <v>370</v>
      </c>
      <c r="AF347" s="4">
        <f t="shared" si="162"/>
        <v>368.77935830783224</v>
      </c>
      <c r="AG347">
        <f t="shared" si="163"/>
        <v>1.4415853259028567E+160</v>
      </c>
      <c r="AH347">
        <f t="shared" si="164"/>
        <v>1.4415867674889E+160</v>
      </c>
      <c r="AI347">
        <f t="shared" si="165"/>
        <v>1.4415838843182554E+160</v>
      </c>
      <c r="AJ347">
        <f t="shared" si="166"/>
        <v>1.4415853223107827E+160</v>
      </c>
      <c r="AK347">
        <f t="shared" si="167"/>
        <v>367.77935830534051</v>
      </c>
      <c r="AL347" t="str">
        <f t="shared" si="168"/>
        <v/>
      </c>
    </row>
    <row r="348" spans="31:38" x14ac:dyDescent="0.25">
      <c r="AE348" t="s">
        <v>371</v>
      </c>
      <c r="AF348" s="4">
        <f t="shared" si="162"/>
        <v>367.77935830534051</v>
      </c>
      <c r="AG348">
        <f t="shared" si="163"/>
        <v>5.3032960277265563E+159</v>
      </c>
      <c r="AH348">
        <f t="shared" si="164"/>
        <v>5.3033013310252231E+159</v>
      </c>
      <c r="AI348">
        <f t="shared" si="165"/>
        <v>5.3032907244331942E+159</v>
      </c>
      <c r="AJ348">
        <f t="shared" si="166"/>
        <v>5.3032960144182785E+159</v>
      </c>
      <c r="AK348">
        <f t="shared" si="167"/>
        <v>366.7793583028311</v>
      </c>
      <c r="AL348" t="str">
        <f t="shared" si="168"/>
        <v/>
      </c>
    </row>
    <row r="349" spans="31:38" x14ac:dyDescent="0.25">
      <c r="AE349" t="s">
        <v>372</v>
      </c>
      <c r="AF349" s="4">
        <f t="shared" si="162"/>
        <v>366.7793583028311</v>
      </c>
      <c r="AG349">
        <f t="shared" si="163"/>
        <v>1.950973574150984E+159</v>
      </c>
      <c r="AH349">
        <f t="shared" si="164"/>
        <v>1.9509755251255285E+159</v>
      </c>
      <c r="AI349">
        <f t="shared" si="165"/>
        <v>1.9509716231783902E+159</v>
      </c>
      <c r="AJ349">
        <f t="shared" si="166"/>
        <v>1.9509735691544311E+159</v>
      </c>
      <c r="AK349">
        <f t="shared" si="167"/>
        <v>365.77935830027002</v>
      </c>
      <c r="AL349" t="str">
        <f t="shared" si="168"/>
        <v/>
      </c>
    </row>
    <row r="350" spans="31:38" x14ac:dyDescent="0.25">
      <c r="AE350" t="s">
        <v>373</v>
      </c>
      <c r="AF350" s="4">
        <f t="shared" si="162"/>
        <v>365.77935830027002</v>
      </c>
      <c r="AG350">
        <f t="shared" si="163"/>
        <v>7.1772306636076903E+158</v>
      </c>
      <c r="AH350">
        <f t="shared" si="164"/>
        <v>7.1772378408419243E+158</v>
      </c>
      <c r="AI350">
        <f t="shared" si="165"/>
        <v>7.1772234863806334E+158</v>
      </c>
      <c r="AJ350">
        <f t="shared" si="166"/>
        <v>7.177230645461124E+158</v>
      </c>
      <c r="AK350">
        <f t="shared" si="167"/>
        <v>364.77935829774168</v>
      </c>
      <c r="AL350" t="str">
        <f t="shared" si="168"/>
        <v/>
      </c>
    </row>
    <row r="351" spans="31:38" x14ac:dyDescent="0.25">
      <c r="AE351" t="s">
        <v>374</v>
      </c>
      <c r="AF351" s="4">
        <f t="shared" si="162"/>
        <v>364.77935829774168</v>
      </c>
      <c r="AG351">
        <f t="shared" si="163"/>
        <v>2.6403555990108245E+158</v>
      </c>
      <c r="AH351">
        <f t="shared" si="164"/>
        <v>2.6403582393677374E+158</v>
      </c>
      <c r="AI351">
        <f t="shared" si="165"/>
        <v>2.6403529586565525E+158</v>
      </c>
      <c r="AJ351">
        <f t="shared" si="166"/>
        <v>2.6403555924293684E+158</v>
      </c>
      <c r="AK351">
        <f t="shared" si="167"/>
        <v>363.77935829524904</v>
      </c>
      <c r="AL351" t="str">
        <f t="shared" si="168"/>
        <v/>
      </c>
    </row>
    <row r="352" spans="31:38" x14ac:dyDescent="0.25">
      <c r="AE352" t="s">
        <v>375</v>
      </c>
      <c r="AF352" s="4">
        <f t="shared" si="162"/>
        <v>363.77935829524904</v>
      </c>
      <c r="AG352">
        <f t="shared" si="163"/>
        <v>9.7133253983680803E+157</v>
      </c>
      <c r="AH352">
        <f t="shared" si="164"/>
        <v>9.7133351116983099E+157</v>
      </c>
      <c r="AI352">
        <f t="shared" si="165"/>
        <v>9.7133156850475624E+157</v>
      </c>
      <c r="AJ352">
        <f t="shared" si="166"/>
        <v>9.713325373755316E+157</v>
      </c>
      <c r="AK352">
        <f t="shared" si="167"/>
        <v>362.77935829271513</v>
      </c>
      <c r="AL352" t="str">
        <f t="shared" si="168"/>
        <v/>
      </c>
    </row>
    <row r="353" spans="31:38" x14ac:dyDescent="0.25">
      <c r="AE353" t="s">
        <v>376</v>
      </c>
      <c r="AF353" s="4">
        <f t="shared" si="162"/>
        <v>362.77935829271513</v>
      </c>
      <c r="AG353">
        <f t="shared" si="163"/>
        <v>3.5733327104135262E+157</v>
      </c>
      <c r="AH353">
        <f t="shared" si="164"/>
        <v>3.5733362837480142E+157</v>
      </c>
      <c r="AI353">
        <f t="shared" si="165"/>
        <v>3.5733291370826116E+157</v>
      </c>
      <c r="AJ353">
        <f t="shared" si="166"/>
        <v>3.5733327013066338E+157</v>
      </c>
      <c r="AK353">
        <f t="shared" si="167"/>
        <v>361.77935829016656</v>
      </c>
      <c r="AL353" t="str">
        <f t="shared" si="168"/>
        <v/>
      </c>
    </row>
    <row r="354" spans="31:38" x14ac:dyDescent="0.25">
      <c r="AE354" t="s">
        <v>377</v>
      </c>
      <c r="AF354" s="4">
        <f t="shared" si="162"/>
        <v>361.77935829016656</v>
      </c>
      <c r="AG354">
        <f t="shared" si="163"/>
        <v>1.3145556372763201E+157</v>
      </c>
      <c r="AH354">
        <f t="shared" si="164"/>
        <v>1.3145569518326114E+157</v>
      </c>
      <c r="AI354">
        <f t="shared" si="165"/>
        <v>1.3145543227213434E+157</v>
      </c>
      <c r="AJ354">
        <f t="shared" si="166"/>
        <v>1.31455563395887E+157</v>
      </c>
      <c r="AK354">
        <f t="shared" si="167"/>
        <v>360.77935828764294</v>
      </c>
      <c r="AL354" t="str">
        <f t="shared" si="168"/>
        <v/>
      </c>
    </row>
    <row r="355" spans="31:38" x14ac:dyDescent="0.25">
      <c r="AE355" t="s">
        <v>378</v>
      </c>
      <c r="AF355" s="4">
        <f t="shared" si="162"/>
        <v>360.77935828764294</v>
      </c>
      <c r="AG355">
        <f t="shared" si="163"/>
        <v>4.8359799200956413E+156</v>
      </c>
      <c r="AH355">
        <f t="shared" si="164"/>
        <v>4.835984756077967E+156</v>
      </c>
      <c r="AI355">
        <f t="shared" si="165"/>
        <v>4.8359750841181515E+156</v>
      </c>
      <c r="AJ355">
        <f t="shared" si="166"/>
        <v>4.8359799077636622E+156</v>
      </c>
      <c r="AK355">
        <f t="shared" si="167"/>
        <v>359.77935828509288</v>
      </c>
      <c r="AL355" t="str">
        <f t="shared" si="168"/>
        <v/>
      </c>
    </row>
    <row r="356" spans="31:38" x14ac:dyDescent="0.25">
      <c r="AE356" t="s">
        <v>379</v>
      </c>
      <c r="AF356" s="4">
        <f t="shared" si="162"/>
        <v>359.77935828509288</v>
      </c>
      <c r="AG356">
        <f t="shared" si="163"/>
        <v>1.7790575859844102E+156</v>
      </c>
      <c r="AH356">
        <f t="shared" si="164"/>
        <v>1.7790593650428814E+156</v>
      </c>
      <c r="AI356">
        <f t="shared" si="165"/>
        <v>1.7790558069277183E+156</v>
      </c>
      <c r="AJ356">
        <f t="shared" si="166"/>
        <v>1.7790575815558303E+156</v>
      </c>
      <c r="AK356">
        <f t="shared" si="167"/>
        <v>358.7793582826036</v>
      </c>
      <c r="AL356" t="str">
        <f t="shared" si="168"/>
        <v/>
      </c>
    </row>
    <row r="357" spans="31:38" x14ac:dyDescent="0.25">
      <c r="AE357" t="s">
        <v>380</v>
      </c>
      <c r="AF357" s="4">
        <f t="shared" si="162"/>
        <v>358.7793582826036</v>
      </c>
      <c r="AG357">
        <f t="shared" si="163"/>
        <v>6.5447870891457477E+155</v>
      </c>
      <c r="AH357">
        <f t="shared" si="164"/>
        <v>6.5447936339360928E+155</v>
      </c>
      <c r="AI357">
        <f t="shared" si="165"/>
        <v>6.5447805443619476E+155</v>
      </c>
      <c r="AJ357">
        <f t="shared" si="166"/>
        <v>6.5447870725801292E+155</v>
      </c>
      <c r="AK357">
        <f t="shared" si="167"/>
        <v>357.77935828007247</v>
      </c>
      <c r="AL357" t="str">
        <f t="shared" si="168"/>
        <v/>
      </c>
    </row>
    <row r="358" spans="31:38" x14ac:dyDescent="0.25">
      <c r="AE358" t="s">
        <v>381</v>
      </c>
      <c r="AF358" s="4">
        <f t="shared" si="162"/>
        <v>357.77935828007247</v>
      </c>
      <c r="AG358">
        <f t="shared" si="163"/>
        <v>2.40769261084684E+155</v>
      </c>
      <c r="AH358">
        <f t="shared" si="164"/>
        <v>2.407695018540649E+155</v>
      </c>
      <c r="AI358">
        <f t="shared" si="165"/>
        <v>2.4076902031554395E+155</v>
      </c>
      <c r="AJ358">
        <f t="shared" si="166"/>
        <v>2.4076926047773903E+155</v>
      </c>
      <c r="AK358">
        <f t="shared" si="167"/>
        <v>356.77935827755164</v>
      </c>
      <c r="AL358" t="str">
        <f t="shared" si="168"/>
        <v/>
      </c>
    </row>
    <row r="359" spans="31:38" x14ac:dyDescent="0.25">
      <c r="AE359" t="s">
        <v>382</v>
      </c>
      <c r="AF359" s="4">
        <f t="shared" si="162"/>
        <v>356.77935827755164</v>
      </c>
      <c r="AG359">
        <f t="shared" si="163"/>
        <v>8.8574060995814052E+154</v>
      </c>
      <c r="AH359">
        <f t="shared" si="164"/>
        <v>8.8574149569919116E+154</v>
      </c>
      <c r="AI359">
        <f t="shared" si="165"/>
        <v>8.8573972421797563E+154</v>
      </c>
      <c r="AJ359">
        <f t="shared" si="166"/>
        <v>8.8574060776404051E+154</v>
      </c>
      <c r="AK359">
        <f t="shared" si="167"/>
        <v>355.77935827507451</v>
      </c>
      <c r="AL359" t="str">
        <f t="shared" si="168"/>
        <v/>
      </c>
    </row>
    <row r="360" spans="31:38" x14ac:dyDescent="0.25">
      <c r="AE360" t="s">
        <v>383</v>
      </c>
      <c r="AF360" s="4">
        <f t="shared" si="162"/>
        <v>355.77935827507451</v>
      </c>
      <c r="AG360">
        <f t="shared" si="163"/>
        <v>3.2584575980709335E+154</v>
      </c>
      <c r="AH360">
        <f t="shared" si="164"/>
        <v>3.2584608565301521E+154</v>
      </c>
      <c r="AI360">
        <f t="shared" si="165"/>
        <v>3.2584543396149725E+154</v>
      </c>
      <c r="AJ360">
        <f t="shared" si="166"/>
        <v>3.2584575897943343E+154</v>
      </c>
      <c r="AK360">
        <f t="shared" si="167"/>
        <v>354.77935827253447</v>
      </c>
      <c r="AL360" t="str">
        <f t="shared" si="168"/>
        <v/>
      </c>
    </row>
    <row r="361" spans="31:38" x14ac:dyDescent="0.25">
      <c r="AE361" t="s">
        <v>384</v>
      </c>
      <c r="AF361" s="4">
        <f t="shared" si="162"/>
        <v>354.77935827253447</v>
      </c>
      <c r="AG361">
        <f t="shared" si="163"/>
        <v>1.1987195572143697E+154</v>
      </c>
      <c r="AH361">
        <f t="shared" si="164"/>
        <v>1.1987207559345232E+154</v>
      </c>
      <c r="AI361">
        <f t="shared" si="165"/>
        <v>1.1987183584954149E+154</v>
      </c>
      <c r="AJ361">
        <f t="shared" si="166"/>
        <v>1.1987195541503337E+154</v>
      </c>
      <c r="AK361">
        <f t="shared" si="167"/>
        <v>353.77935826997839</v>
      </c>
      <c r="AL361" t="str">
        <f t="shared" si="168"/>
        <v/>
      </c>
    </row>
    <row r="362" spans="31:38" x14ac:dyDescent="0.25">
      <c r="AE362" t="s">
        <v>385</v>
      </c>
      <c r="AF362" s="4">
        <f t="shared" si="162"/>
        <v>353.77935826997839</v>
      </c>
      <c r="AG362">
        <f t="shared" si="163"/>
        <v>4.4098427970211088E+153</v>
      </c>
      <c r="AH362">
        <f t="shared" si="164"/>
        <v>4.4098472068660994E+153</v>
      </c>
      <c r="AI362">
        <f t="shared" si="165"/>
        <v>4.4098383871805282E+153</v>
      </c>
      <c r="AJ362">
        <f t="shared" si="166"/>
        <v>4.4098427855986103E+153</v>
      </c>
      <c r="AK362">
        <f t="shared" si="167"/>
        <v>352.77935826738815</v>
      </c>
      <c r="AL362" t="str">
        <f t="shared" si="168"/>
        <v/>
      </c>
    </row>
    <row r="363" spans="31:38" x14ac:dyDescent="0.25">
      <c r="AE363" t="s">
        <v>386</v>
      </c>
      <c r="AF363" s="4">
        <f t="shared" si="162"/>
        <v>352.77935826738815</v>
      </c>
      <c r="AG363">
        <f t="shared" si="163"/>
        <v>1.6222904996199124E+153</v>
      </c>
      <c r="AH363">
        <f t="shared" si="164"/>
        <v>1.6222921219112191E+153</v>
      </c>
      <c r="AI363">
        <f t="shared" si="165"/>
        <v>1.6222888773302281E+153</v>
      </c>
      <c r="AJ363">
        <f t="shared" si="166"/>
        <v>1.6222904955182165E+153</v>
      </c>
      <c r="AK363">
        <f t="shared" si="167"/>
        <v>351.77935826485981</v>
      </c>
      <c r="AL363" t="str">
        <f t="shared" si="168"/>
        <v/>
      </c>
    </row>
    <row r="364" spans="31:38" x14ac:dyDescent="0.25">
      <c r="AE364" t="s">
        <v>387</v>
      </c>
      <c r="AF364" s="4">
        <f t="shared" si="162"/>
        <v>351.77935826485981</v>
      </c>
      <c r="AG364">
        <f t="shared" si="163"/>
        <v>5.9680732090898246E+152</v>
      </c>
      <c r="AH364">
        <f t="shared" si="164"/>
        <v>5.9680791771660023E+152</v>
      </c>
      <c r="AI364">
        <f t="shared" si="165"/>
        <v>5.9680672410196151E+152</v>
      </c>
      <c r="AJ364">
        <f t="shared" si="166"/>
        <v>5.9680731936190458E+152</v>
      </c>
      <c r="AK364">
        <f t="shared" si="167"/>
        <v>350.77935826226758</v>
      </c>
      <c r="AL364" t="str">
        <f t="shared" si="168"/>
        <v/>
      </c>
    </row>
    <row r="365" spans="31:38" x14ac:dyDescent="0.25">
      <c r="AE365" t="s">
        <v>388</v>
      </c>
      <c r="AF365" s="4">
        <f t="shared" si="162"/>
        <v>350.77935826226758</v>
      </c>
      <c r="AG365">
        <f t="shared" si="163"/>
        <v>2.1955314313388977E+152</v>
      </c>
      <c r="AH365">
        <f t="shared" si="164"/>
        <v>2.1955336268714214E+152</v>
      </c>
      <c r="AI365">
        <f t="shared" si="165"/>
        <v>2.1955292358085696E+152</v>
      </c>
      <c r="AJ365">
        <f t="shared" si="166"/>
        <v>2.1955314258864076E+152</v>
      </c>
      <c r="AK365">
        <f t="shared" si="167"/>
        <v>349.77935825978415</v>
      </c>
      <c r="AL365" t="str">
        <f t="shared" si="168"/>
        <v/>
      </c>
    </row>
    <row r="366" spans="31:38" x14ac:dyDescent="0.25">
      <c r="AE366" t="s">
        <v>389</v>
      </c>
      <c r="AF366" s="4">
        <f t="shared" si="162"/>
        <v>349.77935825978415</v>
      </c>
      <c r="AG366">
        <f t="shared" si="163"/>
        <v>8.0769087402944519E+151</v>
      </c>
      <c r="AH366">
        <f t="shared" si="164"/>
        <v>8.0769168172072102E+151</v>
      </c>
      <c r="AI366">
        <f t="shared" si="165"/>
        <v>8.0769006633897702E+151</v>
      </c>
      <c r="AJ366">
        <f t="shared" si="166"/>
        <v>8.0769087200287253E+151</v>
      </c>
      <c r="AK366">
        <f t="shared" si="167"/>
        <v>348.77935825727508</v>
      </c>
      <c r="AL366" t="str">
        <f t="shared" si="168"/>
        <v/>
      </c>
    </row>
    <row r="367" spans="31:38" x14ac:dyDescent="0.25">
      <c r="AE367" t="s">
        <v>390</v>
      </c>
      <c r="AF367" s="4">
        <f t="shared" si="162"/>
        <v>348.77935825727508</v>
      </c>
      <c r="AG367">
        <f t="shared" si="163"/>
        <v>2.9713286663169935E+151</v>
      </c>
      <c r="AH367">
        <f t="shared" si="164"/>
        <v>2.9713316376471379E+151</v>
      </c>
      <c r="AI367">
        <f t="shared" si="165"/>
        <v>2.9713256949898203E+151</v>
      </c>
      <c r="AJ367">
        <f t="shared" si="166"/>
        <v>2.9713286588008362E+151</v>
      </c>
      <c r="AK367">
        <f t="shared" si="167"/>
        <v>347.77935825474549</v>
      </c>
      <c r="AL367" t="str">
        <f t="shared" si="168"/>
        <v/>
      </c>
    </row>
    <row r="368" spans="31:38" x14ac:dyDescent="0.25">
      <c r="AE368" t="s">
        <v>391</v>
      </c>
      <c r="AF368" s="4">
        <f t="shared" si="162"/>
        <v>347.77935825474549</v>
      </c>
      <c r="AG368">
        <f t="shared" si="163"/>
        <v>1.0930907265363124E+151</v>
      </c>
      <c r="AH368">
        <f t="shared" si="164"/>
        <v>1.0930918196275828E+151</v>
      </c>
      <c r="AI368">
        <f t="shared" si="165"/>
        <v>1.0930896334461352E+151</v>
      </c>
      <c r="AJ368">
        <f t="shared" si="166"/>
        <v>1.0930907237734126E+151</v>
      </c>
      <c r="AK368">
        <f t="shared" si="167"/>
        <v>346.77935825221789</v>
      </c>
      <c r="AL368" t="str">
        <f t="shared" si="168"/>
        <v/>
      </c>
    </row>
    <row r="369" spans="31:38" x14ac:dyDescent="0.25">
      <c r="AE369" t="s">
        <v>392</v>
      </c>
      <c r="AF369" s="4">
        <f t="shared" si="162"/>
        <v>346.77935825221789</v>
      </c>
      <c r="AG369">
        <f t="shared" si="163"/>
        <v>4.0212560461145205E+150</v>
      </c>
      <c r="AH369">
        <f t="shared" si="164"/>
        <v>4.0212600673725665E+150</v>
      </c>
      <c r="AI369">
        <f t="shared" si="165"/>
        <v>4.0212520248604946E+150</v>
      </c>
      <c r="AJ369">
        <f t="shared" si="166"/>
        <v>4.0212560359310891E+150</v>
      </c>
      <c r="AK369">
        <f t="shared" si="167"/>
        <v>345.77935824968552</v>
      </c>
      <c r="AL369" t="str">
        <f t="shared" si="168"/>
        <v/>
      </c>
    </row>
    <row r="370" spans="31:38" x14ac:dyDescent="0.25">
      <c r="AE370" t="s">
        <v>393</v>
      </c>
      <c r="AF370" s="4">
        <f t="shared" si="162"/>
        <v>345.77935824968552</v>
      </c>
      <c r="AG370">
        <f t="shared" si="163"/>
        <v>1.4793374233056572E+150</v>
      </c>
      <c r="AH370">
        <f t="shared" si="164"/>
        <v>1.4793389026438165E+150</v>
      </c>
      <c r="AI370">
        <f t="shared" si="165"/>
        <v>1.4793359439689775E+150</v>
      </c>
      <c r="AJ370">
        <f t="shared" si="166"/>
        <v>1.4793374194824487E+150</v>
      </c>
      <c r="AK370">
        <f t="shared" si="167"/>
        <v>344.77935824710113</v>
      </c>
      <c r="AL370" t="str">
        <f t="shared" si="168"/>
        <v/>
      </c>
    </row>
    <row r="371" spans="31:38" x14ac:dyDescent="0.25">
      <c r="AE371" t="s">
        <v>394</v>
      </c>
      <c r="AF371" s="4">
        <f t="shared" si="162"/>
        <v>344.77935824710113</v>
      </c>
      <c r="AG371">
        <f t="shared" si="163"/>
        <v>5.4421782318321764E+149</v>
      </c>
      <c r="AH371">
        <f t="shared" si="164"/>
        <v>5.4421836740131161E+149</v>
      </c>
      <c r="AI371">
        <f t="shared" si="165"/>
        <v>5.4421727896566797E+149</v>
      </c>
      <c r="AJ371">
        <f t="shared" si="166"/>
        <v>5.4421782182149964E+149</v>
      </c>
      <c r="AK371">
        <f t="shared" si="167"/>
        <v>343.779358244599</v>
      </c>
      <c r="AL371" t="str">
        <f t="shared" si="168"/>
        <v/>
      </c>
    </row>
    <row r="372" spans="31:38" x14ac:dyDescent="0.25">
      <c r="AE372" t="s">
        <v>395</v>
      </c>
      <c r="AF372" s="4">
        <f t="shared" si="162"/>
        <v>343.779358244599</v>
      </c>
      <c r="AG372">
        <f t="shared" si="163"/>
        <v>2.002065481672374E+149</v>
      </c>
      <c r="AH372">
        <f t="shared" si="164"/>
        <v>2.0020674837388515E+149</v>
      </c>
      <c r="AI372">
        <f t="shared" si="165"/>
        <v>2.0020634796078984E+149</v>
      </c>
      <c r="AJ372">
        <f t="shared" si="166"/>
        <v>2.002065476521004E+149</v>
      </c>
      <c r="AK372">
        <f t="shared" si="167"/>
        <v>342.77935824202598</v>
      </c>
      <c r="AL372" t="str">
        <f t="shared" si="168"/>
        <v/>
      </c>
    </row>
    <row r="373" spans="31:38" x14ac:dyDescent="0.25">
      <c r="AE373" t="s">
        <v>396</v>
      </c>
      <c r="AF373" s="4">
        <f t="shared" si="162"/>
        <v>342.77935824202598</v>
      </c>
      <c r="AG373">
        <f t="shared" si="163"/>
        <v>7.365187286911919E+148</v>
      </c>
      <c r="AH373">
        <f t="shared" si="164"/>
        <v>7.3651946521028708E+148</v>
      </c>
      <c r="AI373">
        <f t="shared" si="165"/>
        <v>7.3651799217283332E+148</v>
      </c>
      <c r="AJ373">
        <f t="shared" si="166"/>
        <v>7.3651872687881942E+148</v>
      </c>
      <c r="AK373">
        <f t="shared" si="167"/>
        <v>341.77935823956523</v>
      </c>
      <c r="AL373" t="str">
        <f t="shared" si="168"/>
        <v/>
      </c>
    </row>
    <row r="374" spans="31:38" x14ac:dyDescent="0.25">
      <c r="AE374" t="s">
        <v>397</v>
      </c>
      <c r="AF374" s="4">
        <f t="shared" si="162"/>
        <v>341.77935823956523</v>
      </c>
      <c r="AG374">
        <f t="shared" si="163"/>
        <v>2.7095009765647595E+148</v>
      </c>
      <c r="AH374">
        <f t="shared" si="164"/>
        <v>2.7095036860670841E+148</v>
      </c>
      <c r="AI374">
        <f t="shared" si="165"/>
        <v>2.7094982670651448E+148</v>
      </c>
      <c r="AJ374">
        <f t="shared" si="166"/>
        <v>2.7095009696427036E+148</v>
      </c>
      <c r="AK374">
        <f t="shared" si="167"/>
        <v>340.77935823701051</v>
      </c>
      <c r="AL374" t="str">
        <f t="shared" si="168"/>
        <v/>
      </c>
    </row>
    <row r="375" spans="31:38" x14ac:dyDescent="0.25">
      <c r="AE375" t="s">
        <v>398</v>
      </c>
      <c r="AF375" s="4">
        <f t="shared" si="162"/>
        <v>340.77935823701051</v>
      </c>
      <c r="AG375">
        <f t="shared" si="163"/>
        <v>9.9676970256565965E+147</v>
      </c>
      <c r="AH375">
        <f t="shared" si="164"/>
        <v>9.9677069933585803E+147</v>
      </c>
      <c r="AI375">
        <f t="shared" si="165"/>
        <v>9.9676870579645797E+147</v>
      </c>
      <c r="AJ375">
        <f t="shared" si="166"/>
        <v>9.9676970002926222E+147</v>
      </c>
      <c r="AK375">
        <f t="shared" si="167"/>
        <v>339.77935823446592</v>
      </c>
      <c r="AL375" t="str">
        <f t="shared" si="168"/>
        <v/>
      </c>
    </row>
    <row r="376" spans="31:38" x14ac:dyDescent="0.25">
      <c r="AE376" t="s">
        <v>399</v>
      </c>
      <c r="AF376" s="4">
        <f t="shared" si="162"/>
        <v>339.77935823446592</v>
      </c>
      <c r="AG376">
        <f t="shared" si="163"/>
        <v>3.6669108022339913E+147</v>
      </c>
      <c r="AH376">
        <f t="shared" si="164"/>
        <v>3.6669144691466178E+147</v>
      </c>
      <c r="AI376">
        <f t="shared" si="165"/>
        <v>3.6669071353250316E+147</v>
      </c>
      <c r="AJ376">
        <f t="shared" si="166"/>
        <v>3.6669107931002562E+147</v>
      </c>
      <c r="AK376">
        <f t="shared" si="167"/>
        <v>338.77935823197504</v>
      </c>
      <c r="AL376" t="str">
        <f t="shared" si="168"/>
        <v/>
      </c>
    </row>
    <row r="377" spans="31:38" x14ac:dyDescent="0.25">
      <c r="AE377" t="s">
        <v>400</v>
      </c>
      <c r="AF377" s="4">
        <f t="shared" si="162"/>
        <v>338.77935823197504</v>
      </c>
      <c r="AG377">
        <f t="shared" si="163"/>
        <v>1.3489810933912178E+147</v>
      </c>
      <c r="AH377">
        <f t="shared" si="164"/>
        <v>1.3489824423729823E+147</v>
      </c>
      <c r="AI377">
        <f t="shared" si="165"/>
        <v>1.3489797444108024E+147</v>
      </c>
      <c r="AJ377">
        <f t="shared" si="166"/>
        <v>1.3489810899434099E+147</v>
      </c>
      <c r="AK377">
        <f t="shared" si="167"/>
        <v>337.77935822941919</v>
      </c>
      <c r="AL377" t="str">
        <f t="shared" si="168"/>
        <v/>
      </c>
    </row>
    <row r="378" spans="31:38" x14ac:dyDescent="0.25">
      <c r="AE378" t="s">
        <v>401</v>
      </c>
      <c r="AF378" s="4">
        <f t="shared" si="162"/>
        <v>337.77935822941919</v>
      </c>
      <c r="AG378">
        <f t="shared" si="163"/>
        <v>4.9626240951922988E+146</v>
      </c>
      <c r="AH378">
        <f t="shared" si="164"/>
        <v>4.9626290578188621E+146</v>
      </c>
      <c r="AI378">
        <f t="shared" si="165"/>
        <v>4.962619132570697E+146</v>
      </c>
      <c r="AJ378">
        <f t="shared" si="166"/>
        <v>4.9626240825581551E+146</v>
      </c>
      <c r="AK378">
        <f t="shared" si="167"/>
        <v>336.77935822687334</v>
      </c>
      <c r="AL378" t="str">
        <f t="shared" si="168"/>
        <v/>
      </c>
    </row>
    <row r="379" spans="31:38" x14ac:dyDescent="0.25">
      <c r="AE379" t="s">
        <v>402</v>
      </c>
      <c r="AF379" s="4">
        <f t="shared" si="162"/>
        <v>336.77935822687334</v>
      </c>
      <c r="AG379">
        <f t="shared" si="163"/>
        <v>1.82564737423546E+146</v>
      </c>
      <c r="AH379">
        <f t="shared" si="164"/>
        <v>1.8256491998837423E+146</v>
      </c>
      <c r="AI379">
        <f t="shared" si="165"/>
        <v>1.8256455485890031E+146</v>
      </c>
      <c r="AJ379">
        <f t="shared" si="166"/>
        <v>1.8256473696175921E+146</v>
      </c>
      <c r="AK379">
        <f t="shared" si="167"/>
        <v>335.77935822434392</v>
      </c>
      <c r="AL379" t="str">
        <f t="shared" si="168"/>
        <v/>
      </c>
    </row>
    <row r="380" spans="31:38" x14ac:dyDescent="0.25">
      <c r="AE380" t="s">
        <v>403</v>
      </c>
      <c r="AF380" s="4">
        <f t="shared" si="162"/>
        <v>335.77935822434392</v>
      </c>
      <c r="AG380">
        <f t="shared" si="163"/>
        <v>6.7161813411104868E+145</v>
      </c>
      <c r="AH380">
        <f t="shared" si="164"/>
        <v>6.7161880572951692E+145</v>
      </c>
      <c r="AI380">
        <f t="shared" si="165"/>
        <v>6.7161746249325209E+145</v>
      </c>
      <c r="AJ380">
        <f t="shared" si="166"/>
        <v>6.7161813241143842E+145</v>
      </c>
      <c r="AK380">
        <f t="shared" si="167"/>
        <v>334.77935822181331</v>
      </c>
      <c r="AL380" t="str">
        <f t="shared" si="168"/>
        <v/>
      </c>
    </row>
    <row r="381" spans="31:38" x14ac:dyDescent="0.25">
      <c r="AE381" t="s">
        <v>404</v>
      </c>
      <c r="AF381" s="4">
        <f t="shared" si="162"/>
        <v>334.77935822181331</v>
      </c>
      <c r="AG381">
        <f t="shared" si="163"/>
        <v>2.4707450323212966E+145</v>
      </c>
      <c r="AH381">
        <f t="shared" si="164"/>
        <v>2.4707475030675581E+145</v>
      </c>
      <c r="AI381">
        <f t="shared" si="165"/>
        <v>2.4707425615775059E+145</v>
      </c>
      <c r="AJ381">
        <f t="shared" si="166"/>
        <v>2.4707450261193047E+145</v>
      </c>
      <c r="AK381">
        <f t="shared" si="167"/>
        <v>333.77935821930316</v>
      </c>
      <c r="AL381" t="str">
        <f t="shared" si="168"/>
        <v/>
      </c>
    </row>
    <row r="382" spans="31:38" x14ac:dyDescent="0.25">
      <c r="AE382" t="s">
        <v>405</v>
      </c>
      <c r="AF382" s="4">
        <f t="shared" si="162"/>
        <v>333.77935821930316</v>
      </c>
      <c r="AG382">
        <f t="shared" si="163"/>
        <v>9.0893629948591062E+144</v>
      </c>
      <c r="AH382">
        <f t="shared" si="164"/>
        <v>9.0893720842266235E+144</v>
      </c>
      <c r="AI382">
        <f t="shared" si="165"/>
        <v>9.0893539055006792E+144</v>
      </c>
      <c r="AJ382">
        <f t="shared" si="166"/>
        <v>9.0893629721549438E+144</v>
      </c>
      <c r="AK382">
        <f t="shared" si="167"/>
        <v>332.77935821680529</v>
      </c>
      <c r="AL382" t="str">
        <f t="shared" si="168"/>
        <v/>
      </c>
    </row>
    <row r="383" spans="31:38" x14ac:dyDescent="0.25">
      <c r="AE383" t="s">
        <v>406</v>
      </c>
      <c r="AF383" s="4">
        <f t="shared" si="162"/>
        <v>332.77935821680529</v>
      </c>
      <c r="AG383">
        <f t="shared" si="163"/>
        <v>3.3437897708008019E+144</v>
      </c>
      <c r="AH383">
        <f t="shared" si="164"/>
        <v>3.3437931145922363E+144</v>
      </c>
      <c r="AI383">
        <f t="shared" si="165"/>
        <v>3.3437864270127121E+144</v>
      </c>
      <c r="AJ383">
        <f t="shared" si="166"/>
        <v>3.3437897621173127E+144</v>
      </c>
      <c r="AK383">
        <f t="shared" si="167"/>
        <v>331.7793582142084</v>
      </c>
      <c r="AL383" t="str">
        <f t="shared" si="168"/>
        <v/>
      </c>
    </row>
    <row r="384" spans="31:38" x14ac:dyDescent="0.25">
      <c r="AE384" t="s">
        <v>407</v>
      </c>
      <c r="AF384" s="4">
        <f t="shared" si="162"/>
        <v>331.7793582142084</v>
      </c>
      <c r="AG384">
        <f t="shared" si="163"/>
        <v>1.2301115090825181E+144</v>
      </c>
      <c r="AH384">
        <f t="shared" si="164"/>
        <v>1.2301127391946391E+144</v>
      </c>
      <c r="AI384">
        <f t="shared" si="165"/>
        <v>1.2301102789716272E+144</v>
      </c>
      <c r="AJ384">
        <f t="shared" si="166"/>
        <v>1.2301115059577374E+144</v>
      </c>
      <c r="AK384">
        <f t="shared" si="167"/>
        <v>330.77935821166818</v>
      </c>
      <c r="AL384" t="str">
        <f t="shared" si="168"/>
        <v/>
      </c>
    </row>
    <row r="385" spans="31:38" x14ac:dyDescent="0.25">
      <c r="AE385" t="s">
        <v>408</v>
      </c>
      <c r="AF385" s="4">
        <f t="shared" si="162"/>
        <v>330.77935821166818</v>
      </c>
      <c r="AG385">
        <f t="shared" si="163"/>
        <v>4.5253273339030423E+143</v>
      </c>
      <c r="AH385">
        <f t="shared" si="164"/>
        <v>4.5253318592326272E+143</v>
      </c>
      <c r="AI385">
        <f t="shared" si="165"/>
        <v>4.5253228085779829E+143</v>
      </c>
      <c r="AJ385">
        <f t="shared" si="166"/>
        <v>4.5253273221616396E+143</v>
      </c>
      <c r="AK385">
        <f t="shared" si="167"/>
        <v>329.77935820907356</v>
      </c>
      <c r="AL385" t="str">
        <f t="shared" si="168"/>
        <v/>
      </c>
    </row>
    <row r="386" spans="31:38" x14ac:dyDescent="0.25">
      <c r="AE386" t="s">
        <v>409</v>
      </c>
      <c r="AF386" s="4">
        <f t="shared" si="162"/>
        <v>329.77935820907356</v>
      </c>
      <c r="AG386">
        <f t="shared" si="163"/>
        <v>1.6647748863946495E+143</v>
      </c>
      <c r="AH386">
        <f t="shared" si="164"/>
        <v>1.664776551170364E+143</v>
      </c>
      <c r="AI386">
        <f t="shared" si="165"/>
        <v>1.6647732216205998E+143</v>
      </c>
      <c r="AJ386">
        <f t="shared" si="166"/>
        <v>1.6647748821155888E+143</v>
      </c>
      <c r="AK386">
        <f t="shared" si="167"/>
        <v>328.77935820650322</v>
      </c>
      <c r="AL386" t="str">
        <f t="shared" si="168"/>
        <v/>
      </c>
    </row>
    <row r="387" spans="31:38" x14ac:dyDescent="0.25">
      <c r="AE387" t="s">
        <v>410</v>
      </c>
      <c r="AF387" s="4">
        <f t="shared" si="162"/>
        <v>328.77935820650322</v>
      </c>
      <c r="AG387">
        <f t="shared" si="163"/>
        <v>6.1243645330894161E+142</v>
      </c>
      <c r="AH387">
        <f t="shared" si="164"/>
        <v>6.1243706574569957E+142</v>
      </c>
      <c r="AI387">
        <f t="shared" si="165"/>
        <v>6.1243584087279613E+142</v>
      </c>
      <c r="AJ387">
        <f t="shared" si="166"/>
        <v>6.1243645172180591E+142</v>
      </c>
      <c r="AK387">
        <f t="shared" si="167"/>
        <v>327.77935820391173</v>
      </c>
      <c r="AL387" t="str">
        <f t="shared" si="168"/>
        <v/>
      </c>
    </row>
    <row r="388" spans="31:38" x14ac:dyDescent="0.25">
      <c r="AE388" t="s">
        <v>411</v>
      </c>
      <c r="AF388" s="4">
        <f t="shared" si="162"/>
        <v>327.77935820391173</v>
      </c>
      <c r="AG388">
        <f t="shared" si="163"/>
        <v>2.2530277961244336E+142</v>
      </c>
      <c r="AH388">
        <f t="shared" si="164"/>
        <v>2.2530300491533505E+142</v>
      </c>
      <c r="AI388">
        <f t="shared" si="165"/>
        <v>2.2530255430977694E+142</v>
      </c>
      <c r="AJ388">
        <f t="shared" si="166"/>
        <v>2.2530277905039489E+142</v>
      </c>
      <c r="AK388">
        <f t="shared" si="167"/>
        <v>326.7793582014171</v>
      </c>
      <c r="AL388" t="str">
        <f t="shared" si="168"/>
        <v/>
      </c>
    </row>
    <row r="389" spans="31:38" x14ac:dyDescent="0.25">
      <c r="AE389" t="s">
        <v>412</v>
      </c>
      <c r="AF389" s="4">
        <f t="shared" si="162"/>
        <v>326.7793582014171</v>
      </c>
      <c r="AG389">
        <f t="shared" si="163"/>
        <v>8.2884260451432698E+141</v>
      </c>
      <c r="AH389">
        <f t="shared" si="164"/>
        <v>8.2884343335734388E+141</v>
      </c>
      <c r="AI389">
        <f t="shared" si="165"/>
        <v>8.2884177567213905E+141</v>
      </c>
      <c r="AJ389">
        <f t="shared" si="166"/>
        <v>8.2884260241688684E+141</v>
      </c>
      <c r="AK389">
        <f t="shared" si="167"/>
        <v>325.77935819888654</v>
      </c>
      <c r="AL389" t="str">
        <f t="shared" si="168"/>
        <v/>
      </c>
    </row>
    <row r="390" spans="31:38" x14ac:dyDescent="0.25">
      <c r="AE390" t="s">
        <v>413</v>
      </c>
      <c r="AF390" s="4">
        <f t="shared" si="162"/>
        <v>325.77935819888654</v>
      </c>
      <c r="AG390">
        <f t="shared" si="163"/>
        <v>3.0491415339621129E+141</v>
      </c>
      <c r="AH390">
        <f t="shared" si="164"/>
        <v>3.0491445831051634E+141</v>
      </c>
      <c r="AI390">
        <f t="shared" si="165"/>
        <v>3.0491384848221106E+141</v>
      </c>
      <c r="AJ390">
        <f t="shared" si="166"/>
        <v>3.0491415263752235E+141</v>
      </c>
      <c r="AK390">
        <f t="shared" si="167"/>
        <v>324.77935819639833</v>
      </c>
      <c r="AL390" t="str">
        <f t="shared" si="168"/>
        <v/>
      </c>
    </row>
    <row r="391" spans="31:38" x14ac:dyDescent="0.25">
      <c r="AE391" t="s">
        <v>414</v>
      </c>
      <c r="AF391" s="4">
        <f t="shared" si="162"/>
        <v>324.77935819639833</v>
      </c>
      <c r="AG391">
        <f t="shared" si="163"/>
        <v>1.1217164807755537E+141</v>
      </c>
      <c r="AH391">
        <f t="shared" si="164"/>
        <v>1.1217176024925925E+141</v>
      </c>
      <c r="AI391">
        <f t="shared" si="165"/>
        <v>1.1217153590596366E+141</v>
      </c>
      <c r="AJ391">
        <f t="shared" si="166"/>
        <v>1.1217164779629671E+141</v>
      </c>
      <c r="AK391">
        <f t="shared" si="167"/>
        <v>323.77935819389091</v>
      </c>
      <c r="AL391" t="str">
        <f t="shared" si="168"/>
        <v/>
      </c>
    </row>
    <row r="392" spans="31:38" x14ac:dyDescent="0.25">
      <c r="AE392" t="s">
        <v>415</v>
      </c>
      <c r="AF392" s="4">
        <f t="shared" si="162"/>
        <v>323.77935819389091</v>
      </c>
      <c r="AG392">
        <f t="shared" si="163"/>
        <v>4.1265643106580455E+140</v>
      </c>
      <c r="AH392">
        <f t="shared" si="164"/>
        <v>4.1265684372244091E+140</v>
      </c>
      <c r="AI392">
        <f t="shared" si="165"/>
        <v>4.1265601840958086E+140</v>
      </c>
      <c r="AJ392">
        <f t="shared" si="166"/>
        <v>4.1265643002600231E+140</v>
      </c>
      <c r="AK392">
        <f t="shared" si="167"/>
        <v>322.77935819137116</v>
      </c>
      <c r="AL392" t="str">
        <f t="shared" si="168"/>
        <v/>
      </c>
    </row>
    <row r="393" spans="31:38" x14ac:dyDescent="0.25">
      <c r="AE393" t="s">
        <v>416</v>
      </c>
      <c r="AF393" s="4">
        <f t="shared" si="162"/>
        <v>322.77935819137116</v>
      </c>
      <c r="AG393">
        <f t="shared" si="163"/>
        <v>1.5180781687377147E+140</v>
      </c>
      <c r="AH393">
        <f t="shared" si="164"/>
        <v>1.5180796868166388E+140</v>
      </c>
      <c r="AI393">
        <f t="shared" si="165"/>
        <v>1.5180766506603089E+140</v>
      </c>
      <c r="AJ393">
        <f t="shared" si="166"/>
        <v>1.5180781649710041E+140</v>
      </c>
      <c r="AK393">
        <f t="shared" si="167"/>
        <v>321.77935818888994</v>
      </c>
      <c r="AL393" t="str">
        <f t="shared" si="168"/>
        <v/>
      </c>
    </row>
    <row r="394" spans="31:38" x14ac:dyDescent="0.25">
      <c r="AE394" t="s">
        <v>417</v>
      </c>
      <c r="AF394" s="4">
        <f t="shared" si="162"/>
        <v>321.77935818888994</v>
      </c>
      <c r="AG394">
        <f t="shared" si="163"/>
        <v>5.5846974698411344E+139</v>
      </c>
      <c r="AH394">
        <f t="shared" si="164"/>
        <v>5.5847030545413826E+139</v>
      </c>
      <c r="AI394">
        <f t="shared" si="165"/>
        <v>5.5846918851464708E+139</v>
      </c>
      <c r="AJ394">
        <f t="shared" si="166"/>
        <v>5.5846974559150036E+139</v>
      </c>
      <c r="AK394">
        <f t="shared" si="167"/>
        <v>320.77935818639634</v>
      </c>
      <c r="AL394" t="str">
        <f t="shared" si="168"/>
        <v/>
      </c>
    </row>
    <row r="395" spans="31:38" x14ac:dyDescent="0.25">
      <c r="AE395" t="s">
        <v>418</v>
      </c>
      <c r="AF395" s="4">
        <f t="shared" si="162"/>
        <v>320.77935818639634</v>
      </c>
      <c r="AG395">
        <f t="shared" si="163"/>
        <v>2.0544953791936199E+139</v>
      </c>
      <c r="AH395">
        <f t="shared" si="164"/>
        <v>2.0544974336900211E+139</v>
      </c>
      <c r="AI395">
        <f t="shared" si="165"/>
        <v>2.0544933246992732E+139</v>
      </c>
      <c r="AJ395">
        <f t="shared" si="166"/>
        <v>2.0544953739380967E+139</v>
      </c>
      <c r="AK395">
        <f t="shared" si="167"/>
        <v>319.77935818383827</v>
      </c>
      <c r="AL395" t="str">
        <f t="shared" si="168"/>
        <v/>
      </c>
    </row>
    <row r="396" spans="31:38" x14ac:dyDescent="0.25">
      <c r="AE396" t="s">
        <v>419</v>
      </c>
      <c r="AF396" s="4">
        <f t="shared" si="162"/>
        <v>319.77935818383827</v>
      </c>
      <c r="AG396">
        <f t="shared" si="163"/>
        <v>7.5580661005365505E+138</v>
      </c>
      <c r="AH396">
        <f t="shared" si="164"/>
        <v>7.5580736586064108E+138</v>
      </c>
      <c r="AI396">
        <f t="shared" si="165"/>
        <v>7.5580585424742486E+138</v>
      </c>
      <c r="AJ396">
        <f t="shared" si="166"/>
        <v>7.5580660810677911E+138</v>
      </c>
      <c r="AK396">
        <f t="shared" si="167"/>
        <v>318.77935818126235</v>
      </c>
      <c r="AL396" t="str">
        <f t="shared" si="168"/>
        <v/>
      </c>
    </row>
    <row r="397" spans="31:38" x14ac:dyDescent="0.25">
      <c r="AE397" t="s">
        <v>420</v>
      </c>
      <c r="AF397" s="4">
        <f t="shared" si="162"/>
        <v>318.77935818126235</v>
      </c>
      <c r="AG397">
        <f t="shared" si="163"/>
        <v>2.7804571262399834E+138</v>
      </c>
      <c r="AH397">
        <f t="shared" si="164"/>
        <v>2.7804599066984928E+138</v>
      </c>
      <c r="AI397">
        <f t="shared" si="165"/>
        <v>2.7804543457842544E+138</v>
      </c>
      <c r="AJ397">
        <f t="shared" si="166"/>
        <v>2.7804571191898912E+138</v>
      </c>
      <c r="AK397">
        <f t="shared" si="167"/>
        <v>317.77935817872674</v>
      </c>
      <c r="AL397" t="str">
        <f t="shared" si="168"/>
        <v/>
      </c>
    </row>
    <row r="398" spans="31:38" x14ac:dyDescent="0.25">
      <c r="AE398" t="s">
        <v>421</v>
      </c>
      <c r="AF398" s="4">
        <f t="shared" si="162"/>
        <v>317.77935817872674</v>
      </c>
      <c r="AG398">
        <f t="shared" si="163"/>
        <v>1.022873011208708E+138</v>
      </c>
      <c r="AH398">
        <f t="shared" si="164"/>
        <v>1.0228740340822281E+138</v>
      </c>
      <c r="AI398">
        <f t="shared" si="165"/>
        <v>1.0228719883362108E+138</v>
      </c>
      <c r="AJ398">
        <f t="shared" si="166"/>
        <v>1.0228730086872911E+138</v>
      </c>
      <c r="AK398">
        <f t="shared" si="167"/>
        <v>316.77935817626172</v>
      </c>
      <c r="AL398" t="str">
        <f t="shared" si="168"/>
        <v/>
      </c>
    </row>
    <row r="399" spans="31:38" x14ac:dyDescent="0.25">
      <c r="AE399" t="s">
        <v>422</v>
      </c>
      <c r="AF399" s="4">
        <f t="shared" si="162"/>
        <v>316.77935817626172</v>
      </c>
      <c r="AG399">
        <f t="shared" si="163"/>
        <v>3.7629395082523979E+137</v>
      </c>
      <c r="AH399">
        <f t="shared" si="164"/>
        <v>3.762943271193778E+137</v>
      </c>
      <c r="AI399">
        <f t="shared" si="165"/>
        <v>3.7629357453147808E+137</v>
      </c>
      <c r="AJ399">
        <f t="shared" si="166"/>
        <v>3.7629394986140713E+137</v>
      </c>
      <c r="AK399">
        <f t="shared" si="167"/>
        <v>315.77935817370036</v>
      </c>
      <c r="AL399" t="str">
        <f t="shared" si="168"/>
        <v/>
      </c>
    </row>
    <row r="400" spans="31:38" x14ac:dyDescent="0.25">
      <c r="AE400" t="s">
        <v>423</v>
      </c>
      <c r="AF400" s="4">
        <f t="shared" ref="AF400:AF463" si="169">AK399</f>
        <v>315.77935817370036</v>
      </c>
      <c r="AG400">
        <f t="shared" ref="AG400:AG463" si="170">EXP(AF400)-ATAN(AF400)-1.5</f>
        <v>1.3843080799121165E+137</v>
      </c>
      <c r="AH400">
        <f t="shared" ref="AH400:AH463" si="171">EXP(AF400+E$6)-ATAN(AF400+E$6)-1.5</f>
        <v>1.3843094642208851E+137</v>
      </c>
      <c r="AI400">
        <f t="shared" ref="AI400:AI463" si="172">EXP(AF400-E$6)-ATAN(AF400-E$6)-1.5</f>
        <v>1.3843066956047322E+137</v>
      </c>
      <c r="AJ400">
        <f t="shared" ref="AJ400:AJ463" si="173">(AH400-AI400)/(E$6*2)</f>
        <v>1.3843080764187853E+137</v>
      </c>
      <c r="AK400">
        <f t="shared" ref="AK400:AK463" si="174">AF400-AG400/AJ400</f>
        <v>314.77935817117685</v>
      </c>
      <c r="AL400" t="str">
        <f t="shared" ref="AL400:AL463" si="175">IF(AF401=AF400,"STOP","")</f>
        <v/>
      </c>
    </row>
    <row r="401" spans="31:38" x14ac:dyDescent="0.25">
      <c r="AE401" t="s">
        <v>424</v>
      </c>
      <c r="AF401" s="4">
        <f t="shared" si="169"/>
        <v>314.77935817117685</v>
      </c>
      <c r="AG401">
        <f t="shared" si="170"/>
        <v>5.092584815620645E+136</v>
      </c>
      <c r="AH401">
        <f t="shared" si="171"/>
        <v>5.0925899082079947E+136</v>
      </c>
      <c r="AI401">
        <f t="shared" si="172"/>
        <v>5.0925797230383885E+136</v>
      </c>
      <c r="AJ401">
        <f t="shared" si="173"/>
        <v>5.0925848030562134E+136</v>
      </c>
      <c r="AK401">
        <f t="shared" si="174"/>
        <v>313.77935816870968</v>
      </c>
      <c r="AL401" t="str">
        <f t="shared" si="175"/>
        <v/>
      </c>
    </row>
    <row r="402" spans="31:38" x14ac:dyDescent="0.25">
      <c r="AE402" t="s">
        <v>425</v>
      </c>
      <c r="AF402" s="4">
        <f t="shared" si="169"/>
        <v>313.77935816870968</v>
      </c>
      <c r="AG402">
        <f t="shared" si="170"/>
        <v>1.8734572514665491E+136</v>
      </c>
      <c r="AH402">
        <f t="shared" si="171"/>
        <v>1.8734591249247325E+136</v>
      </c>
      <c r="AI402">
        <f t="shared" si="172"/>
        <v>1.873455378010239E+136</v>
      </c>
      <c r="AJ402">
        <f t="shared" si="173"/>
        <v>1.8734572467293641E+136</v>
      </c>
      <c r="AK402">
        <f t="shared" si="174"/>
        <v>312.77935816618111</v>
      </c>
      <c r="AL402" t="str">
        <f t="shared" si="175"/>
        <v/>
      </c>
    </row>
    <row r="403" spans="31:38" x14ac:dyDescent="0.25">
      <c r="AE403" t="s">
        <v>426</v>
      </c>
      <c r="AF403" s="4">
        <f t="shared" si="169"/>
        <v>312.77935816618111</v>
      </c>
      <c r="AG403">
        <f t="shared" si="170"/>
        <v>6.8920640498539653E+135</v>
      </c>
      <c r="AH403">
        <f t="shared" si="171"/>
        <v>6.8920709419214441E+135</v>
      </c>
      <c r="AI403">
        <f t="shared" si="172"/>
        <v>6.8920571577933799E+135</v>
      </c>
      <c r="AJ403">
        <f t="shared" si="173"/>
        <v>6.8920640321428002E+135</v>
      </c>
      <c r="AK403">
        <f t="shared" si="174"/>
        <v>311.77935816361133</v>
      </c>
      <c r="AL403" t="str">
        <f t="shared" si="175"/>
        <v/>
      </c>
    </row>
    <row r="404" spans="31:38" x14ac:dyDescent="0.25">
      <c r="AE404" t="s">
        <v>427</v>
      </c>
      <c r="AF404" s="4">
        <f t="shared" si="169"/>
        <v>311.77935816361133</v>
      </c>
      <c r="AG404">
        <f t="shared" si="170"/>
        <v>2.535448664662526E+135</v>
      </c>
      <c r="AH404">
        <f t="shared" si="171"/>
        <v>2.535451200112452E+135</v>
      </c>
      <c r="AI404">
        <f t="shared" si="172"/>
        <v>2.5354461292151355E+135</v>
      </c>
      <c r="AJ404">
        <f t="shared" si="173"/>
        <v>2.5354486582294705E+135</v>
      </c>
      <c r="AK404">
        <f t="shared" si="174"/>
        <v>310.77935816107407</v>
      </c>
      <c r="AL404" t="str">
        <f t="shared" si="175"/>
        <v/>
      </c>
    </row>
    <row r="405" spans="31:38" x14ac:dyDescent="0.25">
      <c r="AE405" t="s">
        <v>428</v>
      </c>
      <c r="AF405" s="4">
        <f t="shared" si="169"/>
        <v>310.77935816107407</v>
      </c>
      <c r="AG405">
        <f t="shared" si="170"/>
        <v>9.3273943550832461E+134</v>
      </c>
      <c r="AH405">
        <f t="shared" si="171"/>
        <v>9.3274036824822418E+134</v>
      </c>
      <c r="AI405">
        <f t="shared" si="172"/>
        <v>9.3273850276935787E+134</v>
      </c>
      <c r="AJ405">
        <f t="shared" si="173"/>
        <v>9.3273943315572583E+134</v>
      </c>
      <c r="AK405">
        <f t="shared" si="174"/>
        <v>309.77935815855182</v>
      </c>
      <c r="AL405" t="str">
        <f t="shared" si="175"/>
        <v/>
      </c>
    </row>
    <row r="406" spans="31:38" x14ac:dyDescent="0.25">
      <c r="AE406" t="s">
        <v>429</v>
      </c>
      <c r="AF406" s="4">
        <f t="shared" si="169"/>
        <v>309.77935815855182</v>
      </c>
      <c r="AG406">
        <f t="shared" si="170"/>
        <v>3.4313566142789301E+134</v>
      </c>
      <c r="AH406">
        <f t="shared" si="171"/>
        <v>3.4313600456372511E+134</v>
      </c>
      <c r="AI406">
        <f t="shared" si="172"/>
        <v>3.4313531829240399E+134</v>
      </c>
      <c r="AJ406">
        <f t="shared" si="173"/>
        <v>3.4313566055599465E+134</v>
      </c>
      <c r="AK406">
        <f t="shared" si="174"/>
        <v>308.77935815601086</v>
      </c>
      <c r="AL406" t="str">
        <f t="shared" si="175"/>
        <v/>
      </c>
    </row>
    <row r="407" spans="31:38" x14ac:dyDescent="0.25">
      <c r="AE407" t="s">
        <v>430</v>
      </c>
      <c r="AF407" s="4">
        <f t="shared" si="169"/>
        <v>308.77935815601086</v>
      </c>
      <c r="AG407">
        <f t="shared" si="170"/>
        <v>1.2623255505133494E+134</v>
      </c>
      <c r="AH407">
        <f t="shared" si="171"/>
        <v>1.2623268128395278E+134</v>
      </c>
      <c r="AI407">
        <f t="shared" si="172"/>
        <v>1.2623242881884331E+134</v>
      </c>
      <c r="AJ407">
        <f t="shared" si="173"/>
        <v>1.2623255473547513E+134</v>
      </c>
      <c r="AK407">
        <f t="shared" si="174"/>
        <v>307.77935815350867</v>
      </c>
      <c r="AL407" t="str">
        <f t="shared" si="175"/>
        <v/>
      </c>
    </row>
    <row r="408" spans="31:38" x14ac:dyDescent="0.25">
      <c r="AE408" t="s">
        <v>431</v>
      </c>
      <c r="AF408" s="4">
        <f t="shared" si="169"/>
        <v>307.77935815350867</v>
      </c>
      <c r="AG408">
        <f t="shared" si="170"/>
        <v>4.6438361693730801E+133</v>
      </c>
      <c r="AH408">
        <f t="shared" si="171"/>
        <v>4.6438408132115591E+133</v>
      </c>
      <c r="AI408">
        <f t="shared" si="172"/>
        <v>4.6438315255392441E+133</v>
      </c>
      <c r="AJ408">
        <f t="shared" si="173"/>
        <v>4.6438361575006326E+133</v>
      </c>
      <c r="AK408">
        <f t="shared" si="174"/>
        <v>306.77935815095208</v>
      </c>
      <c r="AL408" t="str">
        <f t="shared" si="175"/>
        <v/>
      </c>
    </row>
    <row r="409" spans="31:38" x14ac:dyDescent="0.25">
      <c r="AE409" t="s">
        <v>432</v>
      </c>
      <c r="AF409" s="4">
        <f t="shared" si="169"/>
        <v>306.77935815095208</v>
      </c>
      <c r="AG409">
        <f t="shared" si="170"/>
        <v>1.7083718505130942E+133</v>
      </c>
      <c r="AH409">
        <f t="shared" si="171"/>
        <v>1.7083735588857947E+133</v>
      </c>
      <c r="AI409">
        <f t="shared" si="172"/>
        <v>1.7083701421421024E+133</v>
      </c>
      <c r="AJ409">
        <f t="shared" si="173"/>
        <v>1.708371846167235E+133</v>
      </c>
      <c r="AK409">
        <f t="shared" si="174"/>
        <v>305.77935814840822</v>
      </c>
      <c r="AL409" t="str">
        <f t="shared" si="175"/>
        <v/>
      </c>
    </row>
    <row r="410" spans="31:38" x14ac:dyDescent="0.25">
      <c r="AE410" t="s">
        <v>433</v>
      </c>
      <c r="AF410" s="4">
        <f t="shared" si="169"/>
        <v>305.77935814840822</v>
      </c>
      <c r="AG410">
        <f t="shared" si="170"/>
        <v>6.2847488008102994E+132</v>
      </c>
      <c r="AH410">
        <f t="shared" si="171"/>
        <v>6.2847550855622258E+132</v>
      </c>
      <c r="AI410">
        <f t="shared" si="172"/>
        <v>6.2847425160646559E+132</v>
      </c>
      <c r="AJ410">
        <f t="shared" si="173"/>
        <v>6.2847487849723421E+132</v>
      </c>
      <c r="AK410">
        <f t="shared" si="174"/>
        <v>304.77935814588818</v>
      </c>
      <c r="AL410" t="str">
        <f t="shared" si="175"/>
        <v/>
      </c>
    </row>
    <row r="411" spans="31:38" x14ac:dyDescent="0.25">
      <c r="AE411" t="s">
        <v>434</v>
      </c>
      <c r="AF411" s="4">
        <f t="shared" si="169"/>
        <v>304.77935814588818</v>
      </c>
      <c r="AG411">
        <f t="shared" si="170"/>
        <v>2.312029870918579E+132</v>
      </c>
      <c r="AH411">
        <f t="shared" si="171"/>
        <v>2.3120321829496001E+132</v>
      </c>
      <c r="AI411">
        <f t="shared" si="172"/>
        <v>2.31202755888987E+132</v>
      </c>
      <c r="AJ411">
        <f t="shared" si="173"/>
        <v>2.3120298650367414E+132</v>
      </c>
      <c r="AK411">
        <f t="shared" si="174"/>
        <v>303.77935814334415</v>
      </c>
      <c r="AL411" t="str">
        <f t="shared" si="175"/>
        <v/>
      </c>
    </row>
    <row r="412" spans="31:38" x14ac:dyDescent="0.25">
      <c r="AE412" t="s">
        <v>435</v>
      </c>
      <c r="AF412" s="4">
        <f t="shared" si="169"/>
        <v>303.77935814334415</v>
      </c>
      <c r="AG412">
        <f t="shared" si="170"/>
        <v>8.5054825472139088E+131</v>
      </c>
      <c r="AH412">
        <f t="shared" si="171"/>
        <v>8.5054910527006866E+131</v>
      </c>
      <c r="AI412">
        <f t="shared" si="172"/>
        <v>8.5054740417356356E+131</v>
      </c>
      <c r="AJ412">
        <f t="shared" si="173"/>
        <v>8.5054825254906939E+131</v>
      </c>
      <c r="AK412">
        <f t="shared" si="174"/>
        <v>302.77935814079012</v>
      </c>
      <c r="AL412" t="str">
        <f t="shared" si="175"/>
        <v/>
      </c>
    </row>
    <row r="413" spans="31:38" x14ac:dyDescent="0.25">
      <c r="AE413" t="s">
        <v>436</v>
      </c>
      <c r="AF413" s="4">
        <f t="shared" si="169"/>
        <v>302.77935814079012</v>
      </c>
      <c r="AG413">
        <f t="shared" si="170"/>
        <v>3.1289921583709635E+131</v>
      </c>
      <c r="AH413">
        <f t="shared" si="171"/>
        <v>3.1289952873646785E+131</v>
      </c>
      <c r="AI413">
        <f t="shared" si="172"/>
        <v>3.1289890293803774E+131</v>
      </c>
      <c r="AJ413">
        <f t="shared" si="173"/>
        <v>3.1289921505448338E+131</v>
      </c>
      <c r="AK413">
        <f t="shared" si="174"/>
        <v>301.77935813828896</v>
      </c>
      <c r="AL413" t="str">
        <f t="shared" si="175"/>
        <v/>
      </c>
    </row>
    <row r="414" spans="31:38" x14ac:dyDescent="0.25">
      <c r="AE414" t="s">
        <v>437</v>
      </c>
      <c r="AF414" s="4">
        <f t="shared" si="169"/>
        <v>301.77935813828896</v>
      </c>
      <c r="AG414">
        <f t="shared" si="170"/>
        <v>1.1510918837722619E+131</v>
      </c>
      <c r="AH414">
        <f t="shared" si="171"/>
        <v>1.1510930348647182E+131</v>
      </c>
      <c r="AI414">
        <f t="shared" si="172"/>
        <v>1.1510907326809565E+131</v>
      </c>
      <c r="AJ414">
        <f t="shared" si="173"/>
        <v>1.1510918808485912E+131</v>
      </c>
      <c r="AK414">
        <f t="shared" si="174"/>
        <v>300.77935813574902</v>
      </c>
      <c r="AL414" t="str">
        <f t="shared" si="175"/>
        <v/>
      </c>
    </row>
    <row r="415" spans="31:38" x14ac:dyDescent="0.25">
      <c r="AE415" t="s">
        <v>438</v>
      </c>
      <c r="AF415" s="4">
        <f t="shared" si="169"/>
        <v>300.77935813574902</v>
      </c>
      <c r="AG415">
        <f t="shared" si="170"/>
        <v>4.2346303786355412E+130</v>
      </c>
      <c r="AH415">
        <f t="shared" si="171"/>
        <v>4.2346346132680265E+130</v>
      </c>
      <c r="AI415">
        <f t="shared" si="172"/>
        <v>4.2346261440072907E+130</v>
      </c>
      <c r="AJ415">
        <f t="shared" si="173"/>
        <v>4.2346303678957566E+130</v>
      </c>
      <c r="AK415">
        <f t="shared" si="174"/>
        <v>299.77935813321284</v>
      </c>
      <c r="AL415" t="str">
        <f t="shared" si="175"/>
        <v/>
      </c>
    </row>
    <row r="416" spans="31:38" x14ac:dyDescent="0.25">
      <c r="AE416" t="s">
        <v>439</v>
      </c>
      <c r="AF416" s="4">
        <f t="shared" si="169"/>
        <v>299.77935813321284</v>
      </c>
      <c r="AG416">
        <f t="shared" si="170"/>
        <v>1.5578334533091057E+130</v>
      </c>
      <c r="AH416">
        <f t="shared" si="171"/>
        <v>1.5578350111433341E+130</v>
      </c>
      <c r="AI416">
        <f t="shared" si="172"/>
        <v>1.5578318954764352E+130</v>
      </c>
      <c r="AJ416">
        <f t="shared" si="173"/>
        <v>1.5578334494287589E+130</v>
      </c>
      <c r="AK416">
        <f t="shared" si="174"/>
        <v>298.77935813072196</v>
      </c>
      <c r="AL416" t="str">
        <f t="shared" si="175"/>
        <v/>
      </c>
    </row>
    <row r="417" spans="31:38" x14ac:dyDescent="0.25">
      <c r="AE417" t="s">
        <v>440</v>
      </c>
      <c r="AF417" s="4">
        <f t="shared" si="169"/>
        <v>298.77935813072196</v>
      </c>
      <c r="AG417">
        <f t="shared" si="170"/>
        <v>5.7309489881402222E+129</v>
      </c>
      <c r="AH417">
        <f t="shared" si="171"/>
        <v>5.7309547190920602E+129</v>
      </c>
      <c r="AI417">
        <f t="shared" si="172"/>
        <v>5.7309432571941134E+129</v>
      </c>
      <c r="AJ417">
        <f t="shared" si="173"/>
        <v>5.7309489734293428E+129</v>
      </c>
      <c r="AK417">
        <f t="shared" si="174"/>
        <v>297.77935812815502</v>
      </c>
      <c r="AL417" t="str">
        <f t="shared" si="175"/>
        <v/>
      </c>
    </row>
    <row r="418" spans="31:38" x14ac:dyDescent="0.25">
      <c r="AE418" t="s">
        <v>441</v>
      </c>
      <c r="AF418" s="4">
        <f t="shared" si="169"/>
        <v>297.77935812815502</v>
      </c>
      <c r="AG418">
        <f t="shared" si="170"/>
        <v>2.1082983057272027E+129</v>
      </c>
      <c r="AH418">
        <f t="shared" si="171"/>
        <v>2.1083004140265573E+129</v>
      </c>
      <c r="AI418">
        <f t="shared" si="172"/>
        <v>2.1082961974299565E+129</v>
      </c>
      <c r="AJ418">
        <f t="shared" si="173"/>
        <v>2.1082983003931986E+129</v>
      </c>
      <c r="AK418">
        <f t="shared" si="174"/>
        <v>296.77935812562504</v>
      </c>
      <c r="AL418" t="str">
        <f t="shared" si="175"/>
        <v/>
      </c>
    </row>
    <row r="419" spans="31:38" x14ac:dyDescent="0.25">
      <c r="AE419" t="s">
        <v>442</v>
      </c>
      <c r="AF419" s="4">
        <f t="shared" si="169"/>
        <v>296.77935812562504</v>
      </c>
      <c r="AG419">
        <f t="shared" si="170"/>
        <v>7.7559960057136519E+128</v>
      </c>
      <c r="AH419">
        <f t="shared" si="171"/>
        <v>7.756003761713515E+128</v>
      </c>
      <c r="AI419">
        <f t="shared" si="172"/>
        <v>7.7559882497215429E+128</v>
      </c>
      <c r="AJ419">
        <f t="shared" si="173"/>
        <v>7.7559959860801278E+128</v>
      </c>
      <c r="AK419">
        <f t="shared" si="174"/>
        <v>295.77935812309363</v>
      </c>
      <c r="AL419" t="str">
        <f t="shared" si="175"/>
        <v/>
      </c>
    </row>
    <row r="420" spans="31:38" x14ac:dyDescent="0.25">
      <c r="AE420" t="s">
        <v>443</v>
      </c>
      <c r="AF420" s="4">
        <f t="shared" si="169"/>
        <v>295.77935812309363</v>
      </c>
      <c r="AG420">
        <f t="shared" si="170"/>
        <v>2.8532714690870827E+128</v>
      </c>
      <c r="AH420">
        <f t="shared" si="171"/>
        <v>2.8532743223599711E+128</v>
      </c>
      <c r="AI420">
        <f t="shared" si="172"/>
        <v>2.8532686158170475E+128</v>
      </c>
      <c r="AJ420">
        <f t="shared" si="173"/>
        <v>2.8532714617969586E+128</v>
      </c>
      <c r="AK420">
        <f t="shared" si="174"/>
        <v>294.77935812053863</v>
      </c>
      <c r="AL420" t="str">
        <f t="shared" si="175"/>
        <v/>
      </c>
    </row>
    <row r="421" spans="31:38" x14ac:dyDescent="0.25">
      <c r="AE421" t="s">
        <v>444</v>
      </c>
      <c r="AF421" s="4">
        <f t="shared" si="169"/>
        <v>294.77935812053863</v>
      </c>
      <c r="AG421">
        <f t="shared" si="170"/>
        <v>1.0496599108762973E+128</v>
      </c>
      <c r="AH421">
        <f t="shared" si="171"/>
        <v>1.0496609605367304E+128</v>
      </c>
      <c r="AI421">
        <f t="shared" si="172"/>
        <v>1.0496588612169138E+128</v>
      </c>
      <c r="AJ421">
        <f t="shared" si="173"/>
        <v>1.0496599082665478E+128</v>
      </c>
      <c r="AK421">
        <f t="shared" si="174"/>
        <v>293.77935811805236</v>
      </c>
      <c r="AL421" t="str">
        <f t="shared" si="175"/>
        <v/>
      </c>
    </row>
    <row r="422" spans="31:38" x14ac:dyDescent="0.25">
      <c r="AE422" t="s">
        <v>445</v>
      </c>
      <c r="AF422" s="4">
        <f t="shared" si="169"/>
        <v>293.77935811805236</v>
      </c>
      <c r="AG422">
        <f t="shared" si="170"/>
        <v>3.8614830047316757E+127</v>
      </c>
      <c r="AH422">
        <f t="shared" si="171"/>
        <v>3.8614868662166017E+127</v>
      </c>
      <c r="AI422">
        <f t="shared" si="172"/>
        <v>3.8614791432506115E+127</v>
      </c>
      <c r="AJ422">
        <f t="shared" si="173"/>
        <v>3.8614829951351834E+127</v>
      </c>
      <c r="AK422">
        <f t="shared" si="174"/>
        <v>292.77935811556716</v>
      </c>
      <c r="AL422" t="str">
        <f t="shared" si="175"/>
        <v/>
      </c>
    </row>
    <row r="423" spans="31:38" x14ac:dyDescent="0.25">
      <c r="AE423" t="s">
        <v>446</v>
      </c>
      <c r="AF423" s="4">
        <f t="shared" si="169"/>
        <v>292.77935811556716</v>
      </c>
      <c r="AG423">
        <f t="shared" si="170"/>
        <v>1.4205602063433429E+127</v>
      </c>
      <c r="AH423">
        <f t="shared" si="171"/>
        <v>1.4205616269042559E+127</v>
      </c>
      <c r="AI423">
        <f t="shared" si="172"/>
        <v>1.4205587857838503E+127</v>
      </c>
      <c r="AJ423">
        <f t="shared" si="173"/>
        <v>1.4205602028121574E+127</v>
      </c>
      <c r="AK423">
        <f t="shared" si="174"/>
        <v>291.7793581130814</v>
      </c>
      <c r="AL423" t="str">
        <f t="shared" si="175"/>
        <v/>
      </c>
    </row>
    <row r="424" spans="31:38" x14ac:dyDescent="0.25">
      <c r="AE424" t="s">
        <v>447</v>
      </c>
      <c r="AF424" s="4">
        <f t="shared" si="169"/>
        <v>291.7793581130814</v>
      </c>
      <c r="AG424">
        <f t="shared" si="170"/>
        <v>5.2259489356093082E+126</v>
      </c>
      <c r="AH424">
        <f t="shared" si="171"/>
        <v>5.2259541615608441E+126</v>
      </c>
      <c r="AI424">
        <f t="shared" si="172"/>
        <v>5.2259437096629993E+126</v>
      </c>
      <c r="AJ424">
        <f t="shared" si="173"/>
        <v>5.2259489223828388E+126</v>
      </c>
      <c r="AK424">
        <f t="shared" si="174"/>
        <v>290.7793581105505</v>
      </c>
      <c r="AL424" t="str">
        <f t="shared" si="175"/>
        <v/>
      </c>
    </row>
    <row r="425" spans="31:38" x14ac:dyDescent="0.25">
      <c r="AE425" t="s">
        <v>448</v>
      </c>
      <c r="AF425" s="4">
        <f t="shared" si="169"/>
        <v>290.7793581105505</v>
      </c>
      <c r="AG425">
        <f t="shared" si="170"/>
        <v>1.9225191691567494E+126</v>
      </c>
      <c r="AH425">
        <f t="shared" si="171"/>
        <v>1.9225210916768749E+126</v>
      </c>
      <c r="AI425">
        <f t="shared" si="172"/>
        <v>1.9225172466385463E+126</v>
      </c>
      <c r="AJ425">
        <f t="shared" si="173"/>
        <v>1.9225191643104671E+126</v>
      </c>
      <c r="AK425">
        <f t="shared" si="174"/>
        <v>289.77935810802973</v>
      </c>
      <c r="AL425" t="str">
        <f t="shared" si="175"/>
        <v/>
      </c>
    </row>
    <row r="426" spans="31:38" x14ac:dyDescent="0.25">
      <c r="AE426" t="s">
        <v>449</v>
      </c>
      <c r="AF426" s="4">
        <f t="shared" si="169"/>
        <v>289.77935810802973</v>
      </c>
      <c r="AG426">
        <f t="shared" si="170"/>
        <v>7.0725527580793683E+125</v>
      </c>
      <c r="AH426">
        <f t="shared" si="171"/>
        <v>7.0725598306356456E+125</v>
      </c>
      <c r="AI426">
        <f t="shared" si="172"/>
        <v>7.0725456855301643E+125</v>
      </c>
      <c r="AJ426">
        <f t="shared" si="173"/>
        <v>7.0725527406435927E+125</v>
      </c>
      <c r="AK426">
        <f t="shared" si="174"/>
        <v>288.77935810556443</v>
      </c>
      <c r="AL426" t="str">
        <f t="shared" si="175"/>
        <v/>
      </c>
    </row>
    <row r="427" spans="31:38" x14ac:dyDescent="0.25">
      <c r="AE427" t="s">
        <v>450</v>
      </c>
      <c r="AF427" s="4">
        <f t="shared" si="169"/>
        <v>288.77935810556443</v>
      </c>
      <c r="AG427">
        <f t="shared" si="170"/>
        <v>2.6018467498834509E+125</v>
      </c>
      <c r="AH427">
        <f t="shared" si="171"/>
        <v>2.601849351731495E+125</v>
      </c>
      <c r="AI427">
        <f t="shared" si="172"/>
        <v>2.6018441480380082E+125</v>
      </c>
      <c r="AJ427">
        <f t="shared" si="173"/>
        <v>2.6018467433875076E+125</v>
      </c>
      <c r="AK427">
        <f t="shared" si="174"/>
        <v>287.77935810306775</v>
      </c>
      <c r="AL427" t="str">
        <f t="shared" si="175"/>
        <v/>
      </c>
    </row>
    <row r="428" spans="31:38" x14ac:dyDescent="0.25">
      <c r="AE428" t="s">
        <v>451</v>
      </c>
      <c r="AF428" s="4">
        <f t="shared" si="169"/>
        <v>287.77935810306775</v>
      </c>
      <c r="AG428">
        <f t="shared" si="170"/>
        <v>9.5716592597112349E+124</v>
      </c>
      <c r="AH428">
        <f t="shared" si="171"/>
        <v>9.5716688313752569E+124</v>
      </c>
      <c r="AI428">
        <f t="shared" si="172"/>
        <v>9.5716496880567855E+124</v>
      </c>
      <c r="AJ428">
        <f t="shared" si="173"/>
        <v>9.5716592357343568E+124</v>
      </c>
      <c r="AK428">
        <f t="shared" si="174"/>
        <v>286.77935810056277</v>
      </c>
      <c r="AL428" t="str">
        <f t="shared" si="175"/>
        <v/>
      </c>
    </row>
    <row r="429" spans="31:38" x14ac:dyDescent="0.25">
      <c r="AE429" t="s">
        <v>452</v>
      </c>
      <c r="AF429" s="4">
        <f t="shared" si="169"/>
        <v>286.77935810056277</v>
      </c>
      <c r="AG429">
        <f t="shared" si="170"/>
        <v>3.521216650725468E+124</v>
      </c>
      <c r="AH429">
        <f t="shared" si="171"/>
        <v>3.5212201719438705E+124</v>
      </c>
      <c r="AI429">
        <f t="shared" si="172"/>
        <v>3.5212131295105868E+124</v>
      </c>
      <c r="AJ429">
        <f t="shared" si="173"/>
        <v>3.521216641858064E+124</v>
      </c>
      <c r="AK429">
        <f t="shared" si="174"/>
        <v>285.7793580980445</v>
      </c>
      <c r="AL429" t="str">
        <f t="shared" si="175"/>
        <v/>
      </c>
    </row>
    <row r="430" spans="31:38" x14ac:dyDescent="0.25">
      <c r="AE430" t="s">
        <v>453</v>
      </c>
      <c r="AF430" s="4">
        <f t="shared" si="169"/>
        <v>285.7793580980445</v>
      </c>
      <c r="AG430">
        <f t="shared" si="170"/>
        <v>1.2953832104503291E+124</v>
      </c>
      <c r="AH430">
        <f t="shared" si="171"/>
        <v>1.2953845058341839E+124</v>
      </c>
      <c r="AI430">
        <f t="shared" si="172"/>
        <v>1.2953819150677696E+124</v>
      </c>
      <c r="AJ430">
        <f t="shared" si="173"/>
        <v>1.2953832071580651E+124</v>
      </c>
      <c r="AK430">
        <f t="shared" si="174"/>
        <v>284.77935809550297</v>
      </c>
      <c r="AL430" t="str">
        <f t="shared" si="175"/>
        <v/>
      </c>
    </row>
    <row r="431" spans="31:38" x14ac:dyDescent="0.25">
      <c r="AE431" t="s">
        <v>454</v>
      </c>
      <c r="AF431" s="4">
        <f t="shared" si="169"/>
        <v>284.77935809550297</v>
      </c>
      <c r="AG431">
        <f t="shared" si="170"/>
        <v>4.7654485035218476E+123</v>
      </c>
      <c r="AH431">
        <f t="shared" si="171"/>
        <v>4.7654532689727214E+123</v>
      </c>
      <c r="AI431">
        <f t="shared" si="172"/>
        <v>4.7654437380757385E+123</v>
      </c>
      <c r="AJ431">
        <f t="shared" si="173"/>
        <v>4.7654484914566874E+123</v>
      </c>
      <c r="AK431">
        <f t="shared" si="174"/>
        <v>283.77935809297117</v>
      </c>
      <c r="AL431" t="str">
        <f t="shared" si="175"/>
        <v/>
      </c>
    </row>
    <row r="432" spans="31:38" x14ac:dyDescent="0.25">
      <c r="AE432" t="s">
        <v>455</v>
      </c>
      <c r="AF432" s="4">
        <f t="shared" si="169"/>
        <v>283.77935809297117</v>
      </c>
      <c r="AG432">
        <f t="shared" si="170"/>
        <v>1.7531105279683679E+123</v>
      </c>
      <c r="AH432">
        <f t="shared" si="171"/>
        <v>1.7531122810797679E+123</v>
      </c>
      <c r="AI432">
        <f t="shared" si="172"/>
        <v>1.7531087748587208E+123</v>
      </c>
      <c r="AJ432">
        <f t="shared" si="173"/>
        <v>1.7531105235508071E+123</v>
      </c>
      <c r="AK432">
        <f t="shared" si="174"/>
        <v>282.7793580904513</v>
      </c>
      <c r="AL432" t="str">
        <f t="shared" si="175"/>
        <v/>
      </c>
    </row>
    <row r="433" spans="31:38" x14ac:dyDescent="0.25">
      <c r="AE433" t="s">
        <v>456</v>
      </c>
      <c r="AF433" s="4">
        <f t="shared" si="169"/>
        <v>282.7793580904513</v>
      </c>
      <c r="AG433">
        <f t="shared" si="170"/>
        <v>6.4493331971562801E+122</v>
      </c>
      <c r="AH433">
        <f t="shared" si="171"/>
        <v>6.4493396464926856E+122</v>
      </c>
      <c r="AI433">
        <f t="shared" si="172"/>
        <v>6.4493267478263242E+122</v>
      </c>
      <c r="AJ433">
        <f t="shared" si="173"/>
        <v>6.4493331806700256E+122</v>
      </c>
      <c r="AK433">
        <f t="shared" si="174"/>
        <v>281.77935808789505</v>
      </c>
      <c r="AL433" t="str">
        <f t="shared" si="175"/>
        <v/>
      </c>
    </row>
    <row r="434" spans="31:38" x14ac:dyDescent="0.25">
      <c r="AE434" t="s">
        <v>457</v>
      </c>
      <c r="AF434" s="4">
        <f t="shared" si="169"/>
        <v>281.77935808789505</v>
      </c>
      <c r="AG434">
        <f t="shared" si="170"/>
        <v>2.3725770864333871E+122</v>
      </c>
      <c r="AH434">
        <f t="shared" si="171"/>
        <v>2.3725794590116537E+122</v>
      </c>
      <c r="AI434">
        <f t="shared" si="172"/>
        <v>2.3725747138574929E+122</v>
      </c>
      <c r="AJ434">
        <f t="shared" si="173"/>
        <v>2.3725770804268346E+122</v>
      </c>
      <c r="AK434">
        <f t="shared" si="174"/>
        <v>280.77935808536341</v>
      </c>
      <c r="AL434" t="str">
        <f t="shared" si="175"/>
        <v/>
      </c>
    </row>
    <row r="435" spans="31:38" x14ac:dyDescent="0.25">
      <c r="AE435" t="s">
        <v>458</v>
      </c>
      <c r="AF435" s="4">
        <f t="shared" si="169"/>
        <v>280.77935808536341</v>
      </c>
      <c r="AG435">
        <f t="shared" si="170"/>
        <v>8.7282233048361539E+121</v>
      </c>
      <c r="AH435">
        <f t="shared" si="171"/>
        <v>8.7282320330638013E+121</v>
      </c>
      <c r="AI435">
        <f t="shared" si="172"/>
        <v>8.7282145766172347E+121</v>
      </c>
      <c r="AJ435">
        <f t="shared" si="173"/>
        <v>8.728223283283153E+121</v>
      </c>
      <c r="AK435">
        <f t="shared" si="174"/>
        <v>279.77935808289408</v>
      </c>
      <c r="AL435" t="str">
        <f t="shared" si="175"/>
        <v/>
      </c>
    </row>
    <row r="436" spans="31:38" x14ac:dyDescent="0.25">
      <c r="AE436" t="s">
        <v>459</v>
      </c>
      <c r="AF436" s="4">
        <f t="shared" si="169"/>
        <v>279.77935808289408</v>
      </c>
      <c r="AG436">
        <f t="shared" si="170"/>
        <v>3.2109339038738124E+121</v>
      </c>
      <c r="AH436">
        <f t="shared" si="171"/>
        <v>3.2109371148093134E+121</v>
      </c>
      <c r="AI436">
        <f t="shared" si="172"/>
        <v>3.2109306929415219E+121</v>
      </c>
      <c r="AJ436">
        <f t="shared" si="173"/>
        <v>3.2109338957791265E+121</v>
      </c>
      <c r="AK436">
        <f t="shared" si="174"/>
        <v>278.77935808037313</v>
      </c>
      <c r="AL436" t="str">
        <f t="shared" si="175"/>
        <v/>
      </c>
    </row>
    <row r="437" spans="31:38" x14ac:dyDescent="0.25">
      <c r="AE437" t="s">
        <v>460</v>
      </c>
      <c r="AF437" s="4">
        <f t="shared" si="169"/>
        <v>278.77935808037313</v>
      </c>
      <c r="AG437">
        <f t="shared" si="170"/>
        <v>1.181236567217699E+121</v>
      </c>
      <c r="AH437">
        <f t="shared" si="171"/>
        <v>1.1812377484548537E+121</v>
      </c>
      <c r="AI437">
        <f t="shared" si="172"/>
        <v>1.1812353859817252E+121</v>
      </c>
      <c r="AJ437">
        <f t="shared" si="173"/>
        <v>1.1812365642324032E+121</v>
      </c>
      <c r="AK437">
        <f t="shared" si="174"/>
        <v>277.77935807784587</v>
      </c>
      <c r="AL437" t="str">
        <f t="shared" si="175"/>
        <v/>
      </c>
    </row>
    <row r="438" spans="31:38" x14ac:dyDescent="0.25">
      <c r="AE438" t="s">
        <v>461</v>
      </c>
      <c r="AF438" s="4">
        <f t="shared" si="169"/>
        <v>277.77935807784587</v>
      </c>
      <c r="AG438">
        <f t="shared" si="170"/>
        <v>4.3455264714109308E+120</v>
      </c>
      <c r="AH438">
        <f t="shared" si="171"/>
        <v>4.345530816939564E+120</v>
      </c>
      <c r="AI438">
        <f t="shared" si="172"/>
        <v>4.3455221258866432E+120</v>
      </c>
      <c r="AJ438">
        <f t="shared" si="173"/>
        <v>4.3455264604055519E+120</v>
      </c>
      <c r="AK438">
        <f t="shared" si="174"/>
        <v>276.77935807531327</v>
      </c>
      <c r="AL438" t="str">
        <f t="shared" si="175"/>
        <v/>
      </c>
    </row>
    <row r="439" spans="31:38" x14ac:dyDescent="0.25">
      <c r="AE439" t="s">
        <v>462</v>
      </c>
      <c r="AF439" s="4">
        <f t="shared" si="169"/>
        <v>276.77935807531327</v>
      </c>
      <c r="AG439">
        <f t="shared" si="170"/>
        <v>1.5986298458496704E+120</v>
      </c>
      <c r="AH439">
        <f t="shared" si="171"/>
        <v>1.5986314444803114E+120</v>
      </c>
      <c r="AI439">
        <f t="shared" si="172"/>
        <v>1.5986282472206277E+120</v>
      </c>
      <c r="AJ439">
        <f t="shared" si="173"/>
        <v>1.5986298418531782E+120</v>
      </c>
      <c r="AK439">
        <f t="shared" si="174"/>
        <v>275.7793580728133</v>
      </c>
      <c r="AL439" t="str">
        <f t="shared" si="175"/>
        <v/>
      </c>
    </row>
    <row r="440" spans="31:38" x14ac:dyDescent="0.25">
      <c r="AE440" t="s">
        <v>463</v>
      </c>
      <c r="AF440" s="4">
        <f t="shared" si="169"/>
        <v>275.7793580728133</v>
      </c>
      <c r="AG440">
        <f t="shared" si="170"/>
        <v>5.8810305286092359E+119</v>
      </c>
      <c r="AH440">
        <f t="shared" si="171"/>
        <v>5.8810364096426903E+119</v>
      </c>
      <c r="AI440">
        <f t="shared" si="172"/>
        <v>5.881024647581663E+119</v>
      </c>
      <c r="AJ440">
        <f t="shared" si="173"/>
        <v>5.8810305136525624E+119</v>
      </c>
      <c r="AK440">
        <f t="shared" si="174"/>
        <v>274.77935807027006</v>
      </c>
      <c r="AL440" t="str">
        <f t="shared" si="175"/>
        <v/>
      </c>
    </row>
    <row r="441" spans="31:38" x14ac:dyDescent="0.25">
      <c r="AE441" t="s">
        <v>464</v>
      </c>
      <c r="AF441" s="4">
        <f t="shared" si="169"/>
        <v>274.77935807027006</v>
      </c>
      <c r="AG441">
        <f t="shared" si="170"/>
        <v>2.1635102188746505E+119</v>
      </c>
      <c r="AH441">
        <f t="shared" si="171"/>
        <v>2.1635123823859459E+119</v>
      </c>
      <c r="AI441">
        <f t="shared" si="172"/>
        <v>2.1635080553655189E+119</v>
      </c>
      <c r="AJ441">
        <f t="shared" si="173"/>
        <v>2.1635102135306891E+119</v>
      </c>
      <c r="AK441">
        <f t="shared" si="174"/>
        <v>273.77935806780005</v>
      </c>
      <c r="AL441" t="str">
        <f t="shared" si="175"/>
        <v/>
      </c>
    </row>
    <row r="442" spans="31:38" x14ac:dyDescent="0.25">
      <c r="AE442" t="s">
        <v>465</v>
      </c>
      <c r="AF442" s="4">
        <f t="shared" si="169"/>
        <v>273.77935806780005</v>
      </c>
      <c r="AG442">
        <f t="shared" si="170"/>
        <v>7.9591092832239775E+118</v>
      </c>
      <c r="AH442">
        <f t="shared" si="171"/>
        <v>7.9591172423372201E+118</v>
      </c>
      <c r="AI442">
        <f t="shared" si="172"/>
        <v>7.9591013241186941E+118</v>
      </c>
      <c r="AJ442">
        <f t="shared" si="173"/>
        <v>7.9591092629939105E+118</v>
      </c>
      <c r="AK442">
        <f t="shared" si="174"/>
        <v>272.77935806525829</v>
      </c>
      <c r="AL442" t="str">
        <f t="shared" si="175"/>
        <v/>
      </c>
    </row>
    <row r="443" spans="31:38" x14ac:dyDescent="0.25">
      <c r="AE443" t="s">
        <v>466</v>
      </c>
      <c r="AF443" s="4">
        <f t="shared" si="169"/>
        <v>272.77935806525829</v>
      </c>
      <c r="AG443">
        <f t="shared" si="170"/>
        <v>2.9279926678926399E+118</v>
      </c>
      <c r="AH443">
        <f t="shared" si="171"/>
        <v>2.9279955958867647E+118</v>
      </c>
      <c r="AI443">
        <f t="shared" si="172"/>
        <v>2.9279897399014434E+118</v>
      </c>
      <c r="AJ443">
        <f t="shared" si="173"/>
        <v>2.9279926606272605E+118</v>
      </c>
      <c r="AK443">
        <f t="shared" si="174"/>
        <v>271.77935806277696</v>
      </c>
      <c r="AL443" t="str">
        <f t="shared" si="175"/>
        <v/>
      </c>
    </row>
    <row r="444" spans="31:38" x14ac:dyDescent="0.25">
      <c r="AE444" t="s">
        <v>467</v>
      </c>
      <c r="AF444" s="4">
        <f t="shared" si="169"/>
        <v>271.77935806277696</v>
      </c>
      <c r="AG444">
        <f t="shared" si="170"/>
        <v>1.0771483037456656E+118</v>
      </c>
      <c r="AH444">
        <f t="shared" si="171"/>
        <v>1.0771493808945053E+118</v>
      </c>
      <c r="AI444">
        <f t="shared" si="172"/>
        <v>1.0771472265979033E+118</v>
      </c>
      <c r="AJ444">
        <f t="shared" si="173"/>
        <v>1.0771483010068901E+118</v>
      </c>
      <c r="AK444">
        <f t="shared" si="174"/>
        <v>270.77935806023436</v>
      </c>
      <c r="AL444" t="str">
        <f t="shared" si="175"/>
        <v/>
      </c>
    </row>
    <row r="445" spans="31:38" x14ac:dyDescent="0.25">
      <c r="AE445" t="s">
        <v>468</v>
      </c>
      <c r="AF445" s="4">
        <f t="shared" si="169"/>
        <v>270.77935806023436</v>
      </c>
      <c r="AG445">
        <f t="shared" si="170"/>
        <v>3.962607150331876E+117</v>
      </c>
      <c r="AH445">
        <f t="shared" si="171"/>
        <v>3.9626111129409975E+117</v>
      </c>
      <c r="AI445">
        <f t="shared" si="172"/>
        <v>3.9626031877267167E+117</v>
      </c>
      <c r="AJ445">
        <f t="shared" si="173"/>
        <v>3.9626071403979776E+117</v>
      </c>
      <c r="AK445">
        <f t="shared" si="174"/>
        <v>269.77935805772745</v>
      </c>
      <c r="AL445" t="str">
        <f t="shared" si="175"/>
        <v/>
      </c>
    </row>
    <row r="446" spans="31:38" x14ac:dyDescent="0.25">
      <c r="AE446" t="s">
        <v>469</v>
      </c>
      <c r="AF446" s="4">
        <f t="shared" si="169"/>
        <v>269.77935805772745</v>
      </c>
      <c r="AG446">
        <f t="shared" si="170"/>
        <v>1.4577617003915768E+117</v>
      </c>
      <c r="AH446">
        <f t="shared" si="171"/>
        <v>1.4577631581540025E+117</v>
      </c>
      <c r="AI446">
        <f t="shared" si="172"/>
        <v>1.457760242630609E+117</v>
      </c>
      <c r="AJ446">
        <f t="shared" si="173"/>
        <v>1.4577616967504328E+117</v>
      </c>
      <c r="AK446">
        <f t="shared" si="174"/>
        <v>268.77935805522969</v>
      </c>
      <c r="AL446" t="str">
        <f t="shared" si="175"/>
        <v/>
      </c>
    </row>
    <row r="447" spans="31:38" x14ac:dyDescent="0.25">
      <c r="AE447" t="s">
        <v>470</v>
      </c>
      <c r="AF447" s="4">
        <f t="shared" si="169"/>
        <v>268.77935805522969</v>
      </c>
      <c r="AG447">
        <f t="shared" si="170"/>
        <v>5.3628055836168647E+116</v>
      </c>
      <c r="AH447">
        <f t="shared" si="171"/>
        <v>5.3628109464251165E+116</v>
      </c>
      <c r="AI447">
        <f t="shared" si="172"/>
        <v>5.3628002208139765E+116</v>
      </c>
      <c r="AJ447">
        <f t="shared" si="173"/>
        <v>5.3628055699926913E+116</v>
      </c>
      <c r="AK447">
        <f t="shared" si="174"/>
        <v>267.77935805268919</v>
      </c>
      <c r="AL447" t="str">
        <f t="shared" si="175"/>
        <v/>
      </c>
    </row>
    <row r="448" spans="31:38" x14ac:dyDescent="0.25">
      <c r="AE448" t="s">
        <v>471</v>
      </c>
      <c r="AF448" s="4">
        <f t="shared" si="169"/>
        <v>267.77935805268919</v>
      </c>
      <c r="AG448">
        <f t="shared" si="170"/>
        <v>1.9728659161999911E+116</v>
      </c>
      <c r="AH448">
        <f t="shared" si="171"/>
        <v>1.9728678890668889E+116</v>
      </c>
      <c r="AI448">
        <f t="shared" si="172"/>
        <v>1.9728639433350665E+116</v>
      </c>
      <c r="AJ448">
        <f t="shared" si="173"/>
        <v>1.9728659112068099E+116</v>
      </c>
      <c r="AK448">
        <f t="shared" si="174"/>
        <v>266.77935805015824</v>
      </c>
      <c r="AL448" t="str">
        <f t="shared" si="175"/>
        <v/>
      </c>
    </row>
    <row r="449" spans="31:38" x14ac:dyDescent="0.25">
      <c r="AE449" t="s">
        <v>472</v>
      </c>
      <c r="AF449" s="4">
        <f t="shared" si="169"/>
        <v>266.77935805015824</v>
      </c>
      <c r="AG449">
        <f t="shared" si="170"/>
        <v>7.2577680892093119E+115</v>
      </c>
      <c r="AH449">
        <f t="shared" si="171"/>
        <v>7.257775346981012E+115</v>
      </c>
      <c r="AI449">
        <f t="shared" si="172"/>
        <v>7.25776083144487E+115</v>
      </c>
      <c r="AJ449">
        <f t="shared" si="173"/>
        <v>7.2577680709964312E+115</v>
      </c>
      <c r="AK449">
        <f t="shared" si="174"/>
        <v>265.77935804764883</v>
      </c>
      <c r="AL449" t="str">
        <f t="shared" si="175"/>
        <v/>
      </c>
    </row>
    <row r="450" spans="31:38" x14ac:dyDescent="0.25">
      <c r="AE450" t="s">
        <v>473</v>
      </c>
      <c r="AF450" s="4">
        <f t="shared" si="169"/>
        <v>265.77935804764883</v>
      </c>
      <c r="AG450">
        <f t="shared" si="170"/>
        <v>2.6699836621101658E+115</v>
      </c>
      <c r="AH450">
        <f t="shared" si="171"/>
        <v>2.6699863320951562E+115</v>
      </c>
      <c r="AI450">
        <f t="shared" si="172"/>
        <v>2.6699809921278455E+115</v>
      </c>
      <c r="AJ450">
        <f t="shared" si="173"/>
        <v>2.6699836553545414E+115</v>
      </c>
      <c r="AK450">
        <f t="shared" si="174"/>
        <v>264.77935804511861</v>
      </c>
      <c r="AL450" t="str">
        <f t="shared" si="175"/>
        <v/>
      </c>
    </row>
    <row r="451" spans="31:38" x14ac:dyDescent="0.25">
      <c r="AE451" t="s">
        <v>474</v>
      </c>
      <c r="AF451" s="4">
        <f t="shared" si="169"/>
        <v>264.77935804511861</v>
      </c>
      <c r="AG451">
        <f t="shared" si="170"/>
        <v>9.8223209506871122E+114</v>
      </c>
      <c r="AH451">
        <f t="shared" si="171"/>
        <v>9.8223307730129494E+114</v>
      </c>
      <c r="AI451">
        <f t="shared" si="172"/>
        <v>9.8223111283710979E+114</v>
      </c>
      <c r="AJ451">
        <f t="shared" si="173"/>
        <v>9.8223209257409949E+114</v>
      </c>
      <c r="AK451">
        <f t="shared" si="174"/>
        <v>263.77935804257885</v>
      </c>
      <c r="AL451" t="str">
        <f t="shared" si="175"/>
        <v/>
      </c>
    </row>
    <row r="452" spans="31:38" x14ac:dyDescent="0.25">
      <c r="AE452" t="s">
        <v>475</v>
      </c>
      <c r="AF452" s="4">
        <f t="shared" si="169"/>
        <v>263.77935804257885</v>
      </c>
      <c r="AG452">
        <f t="shared" si="170"/>
        <v>3.6134299331680661E+114</v>
      </c>
      <c r="AH452">
        <f t="shared" si="171"/>
        <v>3.6134335465997969E+114</v>
      </c>
      <c r="AI452">
        <f t="shared" si="172"/>
        <v>3.6134263197399487E+114</v>
      </c>
      <c r="AJ452">
        <f t="shared" si="173"/>
        <v>3.6134299240751809E+114</v>
      </c>
      <c r="AK452">
        <f t="shared" si="174"/>
        <v>262.77935804006245</v>
      </c>
      <c r="AL452" t="str">
        <f t="shared" si="175"/>
        <v/>
      </c>
    </row>
    <row r="453" spans="31:38" x14ac:dyDescent="0.25">
      <c r="AE453" t="s">
        <v>476</v>
      </c>
      <c r="AF453" s="4">
        <f t="shared" si="169"/>
        <v>262.77935804006245</v>
      </c>
      <c r="AG453">
        <f t="shared" si="170"/>
        <v>1.3293065811809615E+114</v>
      </c>
      <c r="AH453">
        <f t="shared" si="171"/>
        <v>1.3293079104882039E+114</v>
      </c>
      <c r="AI453">
        <f t="shared" si="172"/>
        <v>1.3293052518750481E+114</v>
      </c>
      <c r="AJ453">
        <f t="shared" si="173"/>
        <v>1.3293065778719689E+114</v>
      </c>
      <c r="AK453">
        <f t="shared" si="174"/>
        <v>261.77935803757316</v>
      </c>
      <c r="AL453" t="str">
        <f t="shared" si="175"/>
        <v/>
      </c>
    </row>
    <row r="454" spans="31:38" x14ac:dyDescent="0.25">
      <c r="AE454" t="s">
        <v>477</v>
      </c>
      <c r="AF454" s="4">
        <f t="shared" si="169"/>
        <v>261.77935803757316</v>
      </c>
      <c r="AG454">
        <f t="shared" si="170"/>
        <v>4.8902456101305011E+113</v>
      </c>
      <c r="AH454">
        <f t="shared" si="171"/>
        <v>4.8902505003785438E+113</v>
      </c>
      <c r="AI454">
        <f t="shared" si="172"/>
        <v>4.8902407198873489E+113</v>
      </c>
      <c r="AJ454">
        <f t="shared" si="173"/>
        <v>4.8902455974886E+113</v>
      </c>
      <c r="AK454">
        <f t="shared" si="174"/>
        <v>260.77935803498804</v>
      </c>
      <c r="AL454" t="str">
        <f t="shared" si="175"/>
        <v/>
      </c>
    </row>
    <row r="455" spans="31:38" x14ac:dyDescent="0.25">
      <c r="AE455" t="s">
        <v>478</v>
      </c>
      <c r="AF455" s="4">
        <f t="shared" si="169"/>
        <v>260.77935803498804</v>
      </c>
      <c r="AG455">
        <f t="shared" si="170"/>
        <v>1.7990208175952142E+113</v>
      </c>
      <c r="AH455">
        <f t="shared" si="171"/>
        <v>1.7990226166169267E+113</v>
      </c>
      <c r="AI455">
        <f t="shared" si="172"/>
        <v>1.7990190185753004E+113</v>
      </c>
      <c r="AJ455">
        <f t="shared" si="173"/>
        <v>1.7990208131236235E+113</v>
      </c>
      <c r="AK455">
        <f t="shared" si="174"/>
        <v>259.77935803250244</v>
      </c>
      <c r="AL455" t="str">
        <f t="shared" si="175"/>
        <v/>
      </c>
    </row>
    <row r="456" spans="31:38" x14ac:dyDescent="0.25">
      <c r="AE456" t="s">
        <v>479</v>
      </c>
      <c r="AF456" s="4">
        <f t="shared" si="169"/>
        <v>259.77935803250244</v>
      </c>
      <c r="AG456">
        <f t="shared" si="170"/>
        <v>6.6182277138769712E+112</v>
      </c>
      <c r="AH456">
        <f t="shared" si="171"/>
        <v>6.6182343321079775E+112</v>
      </c>
      <c r="AI456">
        <f t="shared" si="172"/>
        <v>6.6182210956525831E+112</v>
      </c>
      <c r="AJ456">
        <f t="shared" si="173"/>
        <v>6.6182276972106291E+112</v>
      </c>
      <c r="AK456">
        <f t="shared" si="174"/>
        <v>258.77935802998422</v>
      </c>
      <c r="AL456" t="str">
        <f t="shared" si="175"/>
        <v/>
      </c>
    </row>
    <row r="457" spans="31:38" x14ac:dyDescent="0.25">
      <c r="AE457" t="s">
        <v>480</v>
      </c>
      <c r="AF457" s="4">
        <f t="shared" si="169"/>
        <v>258.77935802998422</v>
      </c>
      <c r="AG457">
        <f t="shared" si="170"/>
        <v>2.4347099067952765E+112</v>
      </c>
      <c r="AH457">
        <f t="shared" si="171"/>
        <v>2.4347123415063946E+112</v>
      </c>
      <c r="AI457">
        <f t="shared" si="172"/>
        <v>2.4347074720865934E+112</v>
      </c>
      <c r="AJ457">
        <f t="shared" si="173"/>
        <v>2.4347099005628311E+112</v>
      </c>
      <c r="AK457">
        <f t="shared" si="174"/>
        <v>257.77935802742439</v>
      </c>
      <c r="AL457" t="str">
        <f t="shared" si="175"/>
        <v/>
      </c>
    </row>
    <row r="458" spans="31:38" x14ac:dyDescent="0.25">
      <c r="AE458" t="s">
        <v>481</v>
      </c>
      <c r="AF458" s="4">
        <f t="shared" si="169"/>
        <v>257.77935802742439</v>
      </c>
      <c r="AG458">
        <f t="shared" si="170"/>
        <v>8.9567971763363322E+111</v>
      </c>
      <c r="AH458">
        <f t="shared" si="171"/>
        <v>8.9568061331379644E+111</v>
      </c>
      <c r="AI458">
        <f t="shared" si="172"/>
        <v>8.9567882195436573E+111</v>
      </c>
      <c r="AJ458">
        <f t="shared" si="173"/>
        <v>8.9567971535394435E+111</v>
      </c>
      <c r="AK458">
        <f t="shared" si="174"/>
        <v>256.77935802487917</v>
      </c>
      <c r="AL458" t="str">
        <f t="shared" si="175"/>
        <v/>
      </c>
    </row>
    <row r="459" spans="31:38" x14ac:dyDescent="0.25">
      <c r="AE459" t="s">
        <v>482</v>
      </c>
      <c r="AF459" s="4">
        <f t="shared" si="169"/>
        <v>256.77935802487917</v>
      </c>
      <c r="AG459">
        <f t="shared" si="170"/>
        <v>3.2950215315300048E+111</v>
      </c>
      <c r="AH459">
        <f t="shared" si="171"/>
        <v>3.2950248265531752E+111</v>
      </c>
      <c r="AI459">
        <f t="shared" si="172"/>
        <v>3.2950182365101292E+111</v>
      </c>
      <c r="AJ459">
        <f t="shared" si="173"/>
        <v>3.2950215230147435E+111</v>
      </c>
      <c r="AK459">
        <f t="shared" si="174"/>
        <v>255.7793580222949</v>
      </c>
      <c r="AL459" t="str">
        <f t="shared" si="175"/>
        <v/>
      </c>
    </row>
    <row r="460" spans="31:38" x14ac:dyDescent="0.25">
      <c r="AE460" t="s">
        <v>483</v>
      </c>
      <c r="AF460" s="4">
        <f t="shared" si="169"/>
        <v>255.7793580222949</v>
      </c>
      <c r="AG460">
        <f t="shared" si="170"/>
        <v>1.2121706765345488E+111</v>
      </c>
      <c r="AH460">
        <f t="shared" si="171"/>
        <v>1.2121718887058284E+111</v>
      </c>
      <c r="AI460">
        <f t="shared" si="172"/>
        <v>1.2121694643644817E+111</v>
      </c>
      <c r="AJ460">
        <f t="shared" si="173"/>
        <v>1.2121706733715702E+111</v>
      </c>
      <c r="AK460">
        <f t="shared" si="174"/>
        <v>254.77935801968556</v>
      </c>
      <c r="AL460" t="str">
        <f t="shared" si="175"/>
        <v/>
      </c>
    </row>
    <row r="461" spans="31:38" x14ac:dyDescent="0.25">
      <c r="AE461" t="s">
        <v>484</v>
      </c>
      <c r="AF461" s="4">
        <f t="shared" si="169"/>
        <v>254.77935801968556</v>
      </c>
      <c r="AG461">
        <f t="shared" si="170"/>
        <v>4.4593266992434895E+110</v>
      </c>
      <c r="AH461">
        <f t="shared" si="171"/>
        <v>4.4593311585724075E+110</v>
      </c>
      <c r="AI461">
        <f t="shared" si="172"/>
        <v>4.4593222399190311E+110</v>
      </c>
      <c r="AJ461">
        <f t="shared" si="173"/>
        <v>4.4593266882146722E+110</v>
      </c>
      <c r="AK461">
        <f t="shared" si="174"/>
        <v>253.77935801721236</v>
      </c>
      <c r="AL461" t="str">
        <f t="shared" si="175"/>
        <v/>
      </c>
    </row>
    <row r="462" spans="31:38" x14ac:dyDescent="0.25">
      <c r="AE462" t="s">
        <v>485</v>
      </c>
      <c r="AF462" s="4">
        <f t="shared" si="169"/>
        <v>253.77935801721236</v>
      </c>
      <c r="AG462">
        <f t="shared" si="170"/>
        <v>1.6404946100613156E+110</v>
      </c>
      <c r="AH462">
        <f t="shared" si="171"/>
        <v>1.6404962505567418E+110</v>
      </c>
      <c r="AI462">
        <f t="shared" si="172"/>
        <v>1.6404929695675301E+110</v>
      </c>
      <c r="AJ462">
        <f t="shared" si="173"/>
        <v>1.640494605858962E+110</v>
      </c>
      <c r="AK462">
        <f t="shared" si="174"/>
        <v>252.77935801465071</v>
      </c>
      <c r="AL462" t="str">
        <f t="shared" si="175"/>
        <v/>
      </c>
    </row>
    <row r="463" spans="31:38" x14ac:dyDescent="0.25">
      <c r="AE463" t="s">
        <v>486</v>
      </c>
      <c r="AF463" s="4">
        <f t="shared" si="169"/>
        <v>252.77935801465071</v>
      </c>
      <c r="AG463">
        <f t="shared" si="170"/>
        <v>6.0350423884815413E+109</v>
      </c>
      <c r="AH463">
        <f t="shared" si="171"/>
        <v>6.0350484235269319E+109</v>
      </c>
      <c r="AI463">
        <f t="shared" si="172"/>
        <v>6.0350363534421857E+109</v>
      </c>
      <c r="AJ463">
        <f t="shared" si="173"/>
        <v>6.0350423731056845E+109</v>
      </c>
      <c r="AK463">
        <f t="shared" si="174"/>
        <v>251.77935801210296</v>
      </c>
      <c r="AL463" t="str">
        <f t="shared" si="175"/>
        <v/>
      </c>
    </row>
    <row r="464" spans="31:38" x14ac:dyDescent="0.25">
      <c r="AE464" t="s">
        <v>487</v>
      </c>
      <c r="AF464" s="4">
        <f t="shared" ref="AF464:AF527" si="176">AK463</f>
        <v>251.77935801210296</v>
      </c>
      <c r="AG464">
        <f t="shared" ref="AG464:AG527" si="177">EXP(AF464)-ATAN(AF464)-1.5</f>
        <v>2.2201680156641218E+109</v>
      </c>
      <c r="AH464">
        <f t="shared" ref="AH464:AH527" si="178">EXP(AF464+E$6)-ATAN(AF464+E$6)-1.5</f>
        <v>2.220170235833242E+109</v>
      </c>
      <c r="AI464">
        <f t="shared" ref="AI464:AI527" si="179">EXP(AF464-E$6)-ATAN(AF464-E$6)-1.5</f>
        <v>2.2201657954972219E+109</v>
      </c>
      <c r="AJ464">
        <f t="shared" ref="AJ464:AJ527" si="180">(AH464-AI464)/(E$6*2)</f>
        <v>2.2201680100663956E+109</v>
      </c>
      <c r="AK464">
        <f t="shared" ref="AK464:AK527" si="181">AF464-AG464/AJ464</f>
        <v>250.77935800958164</v>
      </c>
      <c r="AL464" t="str">
        <f t="shared" ref="AL464:AL527" si="182">IF(AF465=AF464,"STOP","")</f>
        <v/>
      </c>
    </row>
    <row r="465" spans="31:38" x14ac:dyDescent="0.25">
      <c r="AE465" t="s">
        <v>488</v>
      </c>
      <c r="AF465" s="4">
        <f t="shared" si="176"/>
        <v>250.77935800958164</v>
      </c>
      <c r="AG465">
        <f t="shared" si="177"/>
        <v>8.1675416684992994E+108</v>
      </c>
      <c r="AH465">
        <f t="shared" si="178"/>
        <v>8.1675498360450311E+108</v>
      </c>
      <c r="AI465">
        <f t="shared" si="179"/>
        <v>8.1675335009617353E+108</v>
      </c>
      <c r="AJ465">
        <f t="shared" si="180"/>
        <v>8.167541647889221E+108</v>
      </c>
      <c r="AK465">
        <f t="shared" si="181"/>
        <v>249.77935800705822</v>
      </c>
      <c r="AL465" t="str">
        <f t="shared" si="182"/>
        <v/>
      </c>
    </row>
    <row r="466" spans="31:38" x14ac:dyDescent="0.25">
      <c r="AE466" t="s">
        <v>489</v>
      </c>
      <c r="AF466" s="4">
        <f t="shared" si="176"/>
        <v>249.77935800705822</v>
      </c>
      <c r="AG466">
        <f t="shared" si="177"/>
        <v>3.0046706571699413E+108</v>
      </c>
      <c r="AH466">
        <f t="shared" si="178"/>
        <v>3.0046736618420935E+108</v>
      </c>
      <c r="AI466">
        <f t="shared" si="179"/>
        <v>3.0046676525007945E+108</v>
      </c>
      <c r="AJ466">
        <f t="shared" si="180"/>
        <v>3.0046706495097114E+108</v>
      </c>
      <c r="AK466">
        <f t="shared" si="181"/>
        <v>248.77935800450879</v>
      </c>
      <c r="AL466" t="str">
        <f t="shared" si="182"/>
        <v/>
      </c>
    </row>
    <row r="467" spans="31:38" x14ac:dyDescent="0.25">
      <c r="AE467" t="s">
        <v>490</v>
      </c>
      <c r="AF467" s="4">
        <f t="shared" si="176"/>
        <v>248.77935800450879</v>
      </c>
      <c r="AG467">
        <f t="shared" si="177"/>
        <v>1.1053565594458821E+108</v>
      </c>
      <c r="AH467">
        <f t="shared" si="178"/>
        <v>1.1053576648029915E+108</v>
      </c>
      <c r="AI467">
        <f t="shared" si="179"/>
        <v>1.1053554540898782E+108</v>
      </c>
      <c r="AJ467">
        <f t="shared" si="180"/>
        <v>1.1053565566918588E+108</v>
      </c>
      <c r="AK467">
        <f t="shared" si="181"/>
        <v>247.77935800201726</v>
      </c>
      <c r="AL467" t="str">
        <f t="shared" si="182"/>
        <v/>
      </c>
    </row>
    <row r="468" spans="31:38" x14ac:dyDescent="0.25">
      <c r="AE468" t="s">
        <v>491</v>
      </c>
      <c r="AF468" s="4">
        <f t="shared" si="176"/>
        <v>247.77935800201726</v>
      </c>
      <c r="AG468">
        <f t="shared" si="177"/>
        <v>4.0663795237098772E+107</v>
      </c>
      <c r="AH468">
        <f t="shared" si="178"/>
        <v>4.0663835900914239E+107</v>
      </c>
      <c r="AI468">
        <f t="shared" si="179"/>
        <v>4.0663754573323968E+107</v>
      </c>
      <c r="AJ468">
        <f t="shared" si="180"/>
        <v>4.0663795135930114E+107</v>
      </c>
      <c r="AK468">
        <f t="shared" si="181"/>
        <v>246.77935799952934</v>
      </c>
      <c r="AL468" t="str">
        <f t="shared" si="182"/>
        <v/>
      </c>
    </row>
    <row r="469" spans="31:38" x14ac:dyDescent="0.25">
      <c r="AE469" t="s">
        <v>492</v>
      </c>
      <c r="AF469" s="4">
        <f t="shared" si="176"/>
        <v>246.77935799952934</v>
      </c>
      <c r="AG469">
        <f t="shared" si="177"/>
        <v>1.4959374230516087E+107</v>
      </c>
      <c r="AH469">
        <f t="shared" si="178"/>
        <v>1.495938918989776E+107</v>
      </c>
      <c r="AI469">
        <f t="shared" si="179"/>
        <v>1.4959359271149374E+107</v>
      </c>
      <c r="AJ469">
        <f t="shared" si="180"/>
        <v>1.4959374193040791E+107</v>
      </c>
      <c r="AK469">
        <f t="shared" si="181"/>
        <v>245.77935799702419</v>
      </c>
      <c r="AL469" t="str">
        <f t="shared" si="182"/>
        <v/>
      </c>
    </row>
    <row r="470" spans="31:38" x14ac:dyDescent="0.25">
      <c r="AE470" t="s">
        <v>493</v>
      </c>
      <c r="AF470" s="4">
        <f t="shared" si="176"/>
        <v>245.77935799702419</v>
      </c>
      <c r="AG470">
        <f t="shared" si="177"/>
        <v>5.5032462184102957E+106</v>
      </c>
      <c r="AH470">
        <f t="shared" si="178"/>
        <v>5.5032517216592518E+106</v>
      </c>
      <c r="AI470">
        <f t="shared" si="179"/>
        <v>5.503240715166843E+106</v>
      </c>
      <c r="AJ470">
        <f t="shared" si="180"/>
        <v>5.503246204411294E+106</v>
      </c>
      <c r="AK470">
        <f t="shared" si="181"/>
        <v>244.77935799448042</v>
      </c>
      <c r="AL470" t="str">
        <f t="shared" si="182"/>
        <v/>
      </c>
    </row>
    <row r="471" spans="31:38" x14ac:dyDescent="0.25">
      <c r="AE471" t="s">
        <v>494</v>
      </c>
      <c r="AF471" s="4">
        <f t="shared" si="176"/>
        <v>244.77935799448042</v>
      </c>
      <c r="AG471">
        <f t="shared" si="177"/>
        <v>2.0245311383076882E+106</v>
      </c>
      <c r="AH471">
        <f t="shared" si="178"/>
        <v>2.0245331628398338E+106</v>
      </c>
      <c r="AI471">
        <f t="shared" si="179"/>
        <v>2.0245291137775675E+106</v>
      </c>
      <c r="AJ471">
        <f t="shared" si="180"/>
        <v>2.0245311331421642E+106</v>
      </c>
      <c r="AK471">
        <f t="shared" si="181"/>
        <v>243.77935799192895</v>
      </c>
      <c r="AL471" t="str">
        <f t="shared" si="182"/>
        <v/>
      </c>
    </row>
    <row r="472" spans="31:38" x14ac:dyDescent="0.25">
      <c r="AE472" t="s">
        <v>495</v>
      </c>
      <c r="AF472" s="4">
        <f t="shared" si="176"/>
        <v>243.77935799192895</v>
      </c>
      <c r="AG472">
        <f t="shared" si="177"/>
        <v>7.4478338189452117E+105</v>
      </c>
      <c r="AH472">
        <f t="shared" si="178"/>
        <v>7.4478412667827358E+105</v>
      </c>
      <c r="AI472">
        <f t="shared" si="179"/>
        <v>7.4478263711151361E+105</v>
      </c>
      <c r="AJ472">
        <f t="shared" si="180"/>
        <v>7.4478337998566874E+105</v>
      </c>
      <c r="AK472">
        <f t="shared" si="181"/>
        <v>242.77935798936599</v>
      </c>
      <c r="AL472" t="str">
        <f t="shared" si="182"/>
        <v/>
      </c>
    </row>
    <row r="473" spans="31:38" x14ac:dyDescent="0.25">
      <c r="AE473" t="s">
        <v>496</v>
      </c>
      <c r="AF473" s="4">
        <f t="shared" si="176"/>
        <v>242.77935798936599</v>
      </c>
      <c r="AG473">
        <f t="shared" si="177"/>
        <v>2.7399049362290778E+105</v>
      </c>
      <c r="AH473">
        <f t="shared" si="178"/>
        <v>2.7399076761353772E+105</v>
      </c>
      <c r="AI473">
        <f t="shared" si="179"/>
        <v>2.7399021963255182E+105</v>
      </c>
      <c r="AJ473">
        <f t="shared" si="180"/>
        <v>2.7399049295111063E+105</v>
      </c>
      <c r="AK473">
        <f t="shared" si="181"/>
        <v>241.77935798691408</v>
      </c>
      <c r="AL473" t="str">
        <f t="shared" si="182"/>
        <v/>
      </c>
    </row>
    <row r="474" spans="31:38" x14ac:dyDescent="0.25">
      <c r="AE474" t="s">
        <v>497</v>
      </c>
      <c r="AF474" s="4">
        <f t="shared" si="176"/>
        <v>241.77935798691408</v>
      </c>
      <c r="AG474">
        <f t="shared" si="177"/>
        <v>1.0079546943314127E+105</v>
      </c>
      <c r="AH474">
        <f t="shared" si="178"/>
        <v>1.0079557022866085E+105</v>
      </c>
      <c r="AI474">
        <f t="shared" si="179"/>
        <v>1.0079536863772249E+105</v>
      </c>
      <c r="AJ474">
        <f t="shared" si="180"/>
        <v>1.0079546918215796E+105</v>
      </c>
      <c r="AK474">
        <f t="shared" si="181"/>
        <v>240.77935798442405</v>
      </c>
      <c r="AL474" t="str">
        <f t="shared" si="182"/>
        <v/>
      </c>
    </row>
    <row r="475" spans="31:38" x14ac:dyDescent="0.25">
      <c r="AE475" t="s">
        <v>498</v>
      </c>
      <c r="AF475" s="4">
        <f t="shared" si="176"/>
        <v>240.77935798442405</v>
      </c>
      <c r="AG475">
        <f t="shared" si="177"/>
        <v>3.70805808753456E+104</v>
      </c>
      <c r="AH475">
        <f t="shared" si="178"/>
        <v>3.708061795594492E+104</v>
      </c>
      <c r="AI475">
        <f t="shared" si="179"/>
        <v>3.708054379478336E+104</v>
      </c>
      <c r="AJ475">
        <f t="shared" si="180"/>
        <v>3.7080580780067736E+104</v>
      </c>
      <c r="AK475">
        <f t="shared" si="181"/>
        <v>239.77935798185456</v>
      </c>
      <c r="AL475" t="str">
        <f t="shared" si="182"/>
        <v/>
      </c>
    </row>
    <row r="476" spans="31:38" x14ac:dyDescent="0.25">
      <c r="AE476" t="s">
        <v>499</v>
      </c>
      <c r="AF476" s="4">
        <f t="shared" si="176"/>
        <v>239.77935798185456</v>
      </c>
      <c r="AG476">
        <f t="shared" si="177"/>
        <v>1.3641183335683685E+104</v>
      </c>
      <c r="AH476">
        <f t="shared" si="178"/>
        <v>1.3641196976873806E+104</v>
      </c>
      <c r="AI476">
        <f t="shared" si="179"/>
        <v>1.3641169694507203E+104</v>
      </c>
      <c r="AJ476">
        <f t="shared" si="180"/>
        <v>1.364118330157443E+104</v>
      </c>
      <c r="AK476">
        <f t="shared" si="181"/>
        <v>238.7793579793541</v>
      </c>
      <c r="AL476" t="str">
        <f t="shared" si="182"/>
        <v/>
      </c>
    </row>
    <row r="477" spans="31:38" x14ac:dyDescent="0.25">
      <c r="AE477" t="s">
        <v>500</v>
      </c>
      <c r="AF477" s="4">
        <f t="shared" si="176"/>
        <v>238.7793579793541</v>
      </c>
      <c r="AG477">
        <f t="shared" si="177"/>
        <v>5.0183108899004358E+103</v>
      </c>
      <c r="AH477">
        <f t="shared" si="178"/>
        <v>5.0183159082138225E+103</v>
      </c>
      <c r="AI477">
        <f t="shared" si="179"/>
        <v>5.0183058715920678E+103</v>
      </c>
      <c r="AJ477">
        <f t="shared" si="180"/>
        <v>5.0183108773366043E+103</v>
      </c>
      <c r="AK477">
        <f t="shared" si="181"/>
        <v>237.77935797685049</v>
      </c>
      <c r="AL477" t="str">
        <f t="shared" si="182"/>
        <v/>
      </c>
    </row>
    <row r="478" spans="31:38" x14ac:dyDescent="0.25">
      <c r="AE478" t="s">
        <v>501</v>
      </c>
      <c r="AF478" s="4">
        <f t="shared" si="176"/>
        <v>237.77935797685049</v>
      </c>
      <c r="AG478">
        <f t="shared" si="177"/>
        <v>1.8461334011791349E+103</v>
      </c>
      <c r="AH478">
        <f t="shared" si="178"/>
        <v>1.8461352473134544E+103</v>
      </c>
      <c r="AI478">
        <f t="shared" si="179"/>
        <v>1.8461315550466615E+103</v>
      </c>
      <c r="AJ478">
        <f t="shared" si="180"/>
        <v>1.8461333964494974E+103</v>
      </c>
      <c r="AK478">
        <f t="shared" si="181"/>
        <v>236.77935797428859</v>
      </c>
      <c r="AL478" t="str">
        <f t="shared" si="182"/>
        <v/>
      </c>
    </row>
    <row r="479" spans="31:38" x14ac:dyDescent="0.25">
      <c r="AE479" t="s">
        <v>502</v>
      </c>
      <c r="AF479" s="4">
        <f t="shared" si="176"/>
        <v>236.77935797428859</v>
      </c>
      <c r="AG479">
        <f t="shared" si="177"/>
        <v>6.7915452221378534E+102</v>
      </c>
      <c r="AH479">
        <f t="shared" si="178"/>
        <v>6.7915520136864542E+102</v>
      </c>
      <c r="AI479">
        <f t="shared" si="179"/>
        <v>6.791538430596044E+102</v>
      </c>
      <c r="AJ479">
        <f t="shared" si="180"/>
        <v>6.7915452050829616E+102</v>
      </c>
      <c r="AK479">
        <f t="shared" si="181"/>
        <v>235.77935797177739</v>
      </c>
      <c r="AL479" t="str">
        <f t="shared" si="182"/>
        <v/>
      </c>
    </row>
    <row r="480" spans="31:38" x14ac:dyDescent="0.25">
      <c r="AE480" t="s">
        <v>503</v>
      </c>
      <c r="AF480" s="4">
        <f t="shared" si="176"/>
        <v>235.77935797177739</v>
      </c>
      <c r="AG480">
        <f t="shared" si="177"/>
        <v>2.4984698547364946E+102</v>
      </c>
      <c r="AH480">
        <f t="shared" si="178"/>
        <v>2.4984723532075924E+102</v>
      </c>
      <c r="AI480">
        <f t="shared" si="179"/>
        <v>2.4984673562678953E+102</v>
      </c>
      <c r="AJ480">
        <f t="shared" si="180"/>
        <v>2.4984698485654269E+102</v>
      </c>
      <c r="AK480">
        <f t="shared" si="181"/>
        <v>234.77935796930745</v>
      </c>
      <c r="AL480" t="str">
        <f t="shared" si="182"/>
        <v/>
      </c>
    </row>
    <row r="481" spans="31:38" x14ac:dyDescent="0.25">
      <c r="AE481" t="s">
        <v>504</v>
      </c>
      <c r="AF481" s="4">
        <f t="shared" si="176"/>
        <v>234.77935796930745</v>
      </c>
      <c r="AG481">
        <f t="shared" si="177"/>
        <v>9.1913569167395379E+101</v>
      </c>
      <c r="AH481">
        <f t="shared" si="178"/>
        <v>9.1913661081010273E+101</v>
      </c>
      <c r="AI481">
        <f t="shared" si="179"/>
        <v>9.1913477253872404E+101</v>
      </c>
      <c r="AJ481">
        <f t="shared" si="180"/>
        <v>9.1913568934523637E+101</v>
      </c>
      <c r="AK481">
        <f t="shared" si="181"/>
        <v>233.77935796677386</v>
      </c>
      <c r="AL481" t="str">
        <f t="shared" si="182"/>
        <v/>
      </c>
    </row>
    <row r="482" spans="31:38" x14ac:dyDescent="0.25">
      <c r="AE482" t="s">
        <v>505</v>
      </c>
      <c r="AF482" s="4">
        <f t="shared" si="176"/>
        <v>233.77935796677386</v>
      </c>
      <c r="AG482">
        <f t="shared" si="177"/>
        <v>3.3813112375705344E+101</v>
      </c>
      <c r="AH482">
        <f t="shared" si="178"/>
        <v>3.3813146188834541E+101</v>
      </c>
      <c r="AI482">
        <f t="shared" si="179"/>
        <v>3.3813078562609958E+101</v>
      </c>
      <c r="AJ482">
        <f t="shared" si="180"/>
        <v>3.3813112291568864E+101</v>
      </c>
      <c r="AK482">
        <f t="shared" si="181"/>
        <v>232.77935796428557</v>
      </c>
      <c r="AL482" t="str">
        <f t="shared" si="182"/>
        <v/>
      </c>
    </row>
    <row r="483" spans="31:38" x14ac:dyDescent="0.25">
      <c r="AE483" t="s">
        <v>506</v>
      </c>
      <c r="AF483" s="4">
        <f t="shared" si="176"/>
        <v>232.77935796428557</v>
      </c>
      <c r="AG483">
        <f t="shared" si="177"/>
        <v>1.2439148854089424E+101</v>
      </c>
      <c r="AH483">
        <f t="shared" si="178"/>
        <v>1.2439161293244467E+101</v>
      </c>
      <c r="AI483">
        <f t="shared" si="179"/>
        <v>1.2439136414946822E+101</v>
      </c>
      <c r="AJ483">
        <f t="shared" si="180"/>
        <v>1.2439148822542317E+101</v>
      </c>
      <c r="AK483">
        <f t="shared" si="181"/>
        <v>231.77935796174944</v>
      </c>
      <c r="AL483" t="str">
        <f t="shared" si="182"/>
        <v/>
      </c>
    </row>
    <row r="484" spans="31:38" x14ac:dyDescent="0.25">
      <c r="AE484" t="s">
        <v>507</v>
      </c>
      <c r="AF484" s="4">
        <f t="shared" si="176"/>
        <v>231.77935796174944</v>
      </c>
      <c r="AG484">
        <f t="shared" si="177"/>
        <v>4.5761071174852205E+100</v>
      </c>
      <c r="AH484">
        <f t="shared" si="178"/>
        <v>4.5761116935946143E+100</v>
      </c>
      <c r="AI484">
        <f t="shared" si="179"/>
        <v>4.5761025413804029E+100</v>
      </c>
      <c r="AJ484">
        <f t="shared" si="180"/>
        <v>4.5761071056680216E+100</v>
      </c>
      <c r="AK484">
        <f t="shared" si="181"/>
        <v>230.77935795916707</v>
      </c>
      <c r="AL484" t="str">
        <f t="shared" si="182"/>
        <v/>
      </c>
    </row>
    <row r="485" spans="31:38" x14ac:dyDescent="0.25">
      <c r="AE485" t="s">
        <v>508</v>
      </c>
      <c r="AF485" s="4">
        <f t="shared" si="176"/>
        <v>230.77935795916707</v>
      </c>
      <c r="AG485">
        <f t="shared" si="177"/>
        <v>1.6834557247738203E+100</v>
      </c>
      <c r="AH485">
        <f t="shared" si="178"/>
        <v>1.6834574082303825E+100</v>
      </c>
      <c r="AI485">
        <f t="shared" si="179"/>
        <v>1.6834540413189415E+100</v>
      </c>
      <c r="AJ485">
        <f t="shared" si="180"/>
        <v>1.6834557204819052E+100</v>
      </c>
      <c r="AK485">
        <f t="shared" si="181"/>
        <v>229.77935795661762</v>
      </c>
      <c r="AL485" t="str">
        <f t="shared" si="182"/>
        <v/>
      </c>
    </row>
    <row r="486" spans="31:38" x14ac:dyDescent="0.25">
      <c r="AE486" t="s">
        <v>509</v>
      </c>
      <c r="AF486" s="4">
        <f t="shared" si="176"/>
        <v>229.77935795661762</v>
      </c>
      <c r="AG486">
        <f t="shared" si="177"/>
        <v>6.193087496877582E+99</v>
      </c>
      <c r="AH486">
        <f t="shared" si="178"/>
        <v>6.1930936899681596E+99</v>
      </c>
      <c r="AI486">
        <f t="shared" si="179"/>
        <v>6.1930813037931966E+99</v>
      </c>
      <c r="AJ486">
        <f t="shared" si="180"/>
        <v>6.1930874814738194E+99</v>
      </c>
      <c r="AK486">
        <f t="shared" si="181"/>
        <v>228.77935795413038</v>
      </c>
      <c r="AL486" t="str">
        <f t="shared" si="182"/>
        <v/>
      </c>
    </row>
    <row r="487" spans="31:38" x14ac:dyDescent="0.25">
      <c r="AE487" t="s">
        <v>510</v>
      </c>
      <c r="AF487" s="4">
        <f t="shared" si="176"/>
        <v>228.77935795413038</v>
      </c>
      <c r="AG487">
        <f t="shared" si="177"/>
        <v>2.2783095618104672E+99</v>
      </c>
      <c r="AH487">
        <f t="shared" si="178"/>
        <v>2.2783118401211624E+99</v>
      </c>
      <c r="AI487">
        <f t="shared" si="179"/>
        <v>2.2783072835020504E+99</v>
      </c>
      <c r="AJ487">
        <f t="shared" si="180"/>
        <v>2.2783095560203329E+99</v>
      </c>
      <c r="AK487">
        <f t="shared" si="181"/>
        <v>227.77935795158896</v>
      </c>
      <c r="AL487" t="str">
        <f t="shared" si="182"/>
        <v/>
      </c>
    </row>
    <row r="488" spans="31:38" x14ac:dyDescent="0.25">
      <c r="AE488" t="s">
        <v>511</v>
      </c>
      <c r="AF488" s="4">
        <f t="shared" si="176"/>
        <v>227.77935795158896</v>
      </c>
      <c r="AG488">
        <f t="shared" si="177"/>
        <v>8.3814324628432068E+98</v>
      </c>
      <c r="AH488">
        <f t="shared" si="178"/>
        <v>8.3814408442798384E+98</v>
      </c>
      <c r="AI488">
        <f t="shared" si="179"/>
        <v>8.3814240814149554E+98</v>
      </c>
      <c r="AJ488">
        <f t="shared" si="180"/>
        <v>8.3814324415278042E+98</v>
      </c>
      <c r="AK488">
        <f t="shared" si="181"/>
        <v>226.77935794904579</v>
      </c>
      <c r="AL488" t="str">
        <f t="shared" si="182"/>
        <v/>
      </c>
    </row>
    <row r="489" spans="31:38" x14ac:dyDescent="0.25">
      <c r="AE489" t="s">
        <v>512</v>
      </c>
      <c r="AF489" s="4">
        <f t="shared" si="176"/>
        <v>226.77935794904579</v>
      </c>
      <c r="AG489">
        <f t="shared" si="177"/>
        <v>3.0833566828054298E+98</v>
      </c>
      <c r="AH489">
        <f t="shared" si="178"/>
        <v>3.0833597661636468E+98</v>
      </c>
      <c r="AI489">
        <f t="shared" si="179"/>
        <v>3.0833535994502963E+98</v>
      </c>
      <c r="AJ489">
        <f t="shared" si="180"/>
        <v>3.0833566752436774E+98</v>
      </c>
      <c r="AK489">
        <f t="shared" si="181"/>
        <v>225.77935794659334</v>
      </c>
      <c r="AL489" t="str">
        <f t="shared" si="182"/>
        <v/>
      </c>
    </row>
    <row r="490" spans="31:38" x14ac:dyDescent="0.25">
      <c r="AE490" t="s">
        <v>513</v>
      </c>
      <c r="AF490" s="4">
        <f t="shared" si="176"/>
        <v>225.77935794659334</v>
      </c>
      <c r="AG490">
        <f t="shared" si="177"/>
        <v>1.1343035306208681E+98</v>
      </c>
      <c r="AH490">
        <f t="shared" si="178"/>
        <v>1.1343046649249632E+98</v>
      </c>
      <c r="AI490">
        <f t="shared" si="179"/>
        <v>1.1343023963179076E+98</v>
      </c>
      <c r="AJ490">
        <f t="shared" si="180"/>
        <v>1.1343035277836574E+98</v>
      </c>
      <c r="AK490">
        <f t="shared" si="181"/>
        <v>224.77935794409206</v>
      </c>
      <c r="AL490" t="str">
        <f t="shared" si="182"/>
        <v/>
      </c>
    </row>
    <row r="491" spans="31:38" x14ac:dyDescent="0.25">
      <c r="AE491" t="s">
        <v>514</v>
      </c>
      <c r="AF491" s="4">
        <f t="shared" si="176"/>
        <v>224.77935794409206</v>
      </c>
      <c r="AG491">
        <f t="shared" si="177"/>
        <v>4.1728694791984708E+97</v>
      </c>
      <c r="AH491">
        <f t="shared" si="178"/>
        <v>4.1728736520700262E+97</v>
      </c>
      <c r="AI491">
        <f t="shared" si="179"/>
        <v>4.1728653063310892E+97</v>
      </c>
      <c r="AJ491">
        <f t="shared" si="180"/>
        <v>4.1728694684819633E+97</v>
      </c>
      <c r="AK491">
        <f t="shared" si="181"/>
        <v>223.77935794152393</v>
      </c>
      <c r="AL491" t="str">
        <f t="shared" si="182"/>
        <v/>
      </c>
    </row>
    <row r="492" spans="31:38" x14ac:dyDescent="0.25">
      <c r="AE492" t="s">
        <v>515</v>
      </c>
      <c r="AF492" s="4">
        <f t="shared" si="176"/>
        <v>223.77935794152393</v>
      </c>
      <c r="AG492">
        <f t="shared" si="177"/>
        <v>1.5351128881465335E+97</v>
      </c>
      <c r="AH492">
        <f t="shared" si="178"/>
        <v>1.5351144232601853E+97</v>
      </c>
      <c r="AI492">
        <f t="shared" si="179"/>
        <v>1.5351113530344168E+97</v>
      </c>
      <c r="AJ492">
        <f t="shared" si="180"/>
        <v>1.5351128842531278E+97</v>
      </c>
      <c r="AK492">
        <f t="shared" si="181"/>
        <v>222.77935793898769</v>
      </c>
      <c r="AL492" t="str">
        <f t="shared" si="182"/>
        <v/>
      </c>
    </row>
    <row r="493" spans="31:38" x14ac:dyDescent="0.25">
      <c r="AE493" t="s">
        <v>516</v>
      </c>
      <c r="AF493" s="4">
        <f t="shared" si="176"/>
        <v>222.77935793898769</v>
      </c>
      <c r="AG493">
        <f t="shared" si="177"/>
        <v>5.6473646999411849E+96</v>
      </c>
      <c r="AH493">
        <f t="shared" si="178"/>
        <v>5.647370347308695E+96</v>
      </c>
      <c r="AI493">
        <f t="shared" si="179"/>
        <v>5.6473590525793235E+96</v>
      </c>
      <c r="AJ493">
        <f t="shared" si="180"/>
        <v>5.6473646857702671E+96</v>
      </c>
      <c r="AK493">
        <f t="shared" si="181"/>
        <v>221.77935793647839</v>
      </c>
      <c r="AL493" t="str">
        <f t="shared" si="182"/>
        <v/>
      </c>
    </row>
    <row r="494" spans="31:38" x14ac:dyDescent="0.25">
      <c r="AE494" t="s">
        <v>517</v>
      </c>
      <c r="AF494" s="4">
        <f t="shared" si="176"/>
        <v>221.77935793647839</v>
      </c>
      <c r="AG494">
        <f t="shared" si="177"/>
        <v>2.0775493646925072E+96</v>
      </c>
      <c r="AH494">
        <f t="shared" si="178"/>
        <v>2.0775514422429055E+96</v>
      </c>
      <c r="AI494">
        <f t="shared" si="179"/>
        <v>2.0775472871441866E+96</v>
      </c>
      <c r="AJ494">
        <f t="shared" si="180"/>
        <v>2.0775493594117081E+96</v>
      </c>
      <c r="AK494">
        <f t="shared" si="181"/>
        <v>220.77935793393655</v>
      </c>
      <c r="AL494" t="str">
        <f t="shared" si="182"/>
        <v/>
      </c>
    </row>
    <row r="495" spans="31:38" x14ac:dyDescent="0.25">
      <c r="AE495" t="s">
        <v>518</v>
      </c>
      <c r="AF495" s="4">
        <f t="shared" si="176"/>
        <v>220.77935793393655</v>
      </c>
      <c r="AG495">
        <f t="shared" si="177"/>
        <v>7.6428769734646847E+95</v>
      </c>
      <c r="AH495">
        <f t="shared" si="178"/>
        <v>7.6428846163454609E+95</v>
      </c>
      <c r="AI495">
        <f t="shared" si="179"/>
        <v>7.6428693305915527E+95</v>
      </c>
      <c r="AJ495">
        <f t="shared" si="180"/>
        <v>7.6428769541353829E+95</v>
      </c>
      <c r="AK495">
        <f t="shared" si="181"/>
        <v>219.7793579314075</v>
      </c>
      <c r="AL495" t="str">
        <f t="shared" si="182"/>
        <v/>
      </c>
    </row>
    <row r="496" spans="31:38" x14ac:dyDescent="0.25">
      <c r="AE496" t="s">
        <v>519</v>
      </c>
      <c r="AF496" s="4">
        <f t="shared" si="176"/>
        <v>219.7793579314075</v>
      </c>
      <c r="AG496">
        <f t="shared" si="177"/>
        <v>2.811657302829454E+95</v>
      </c>
      <c r="AH496">
        <f t="shared" si="178"/>
        <v>2.811660114488155E+95</v>
      </c>
      <c r="AI496">
        <f t="shared" si="179"/>
        <v>2.8116544911735637E+95</v>
      </c>
      <c r="AJ496">
        <f t="shared" si="180"/>
        <v>2.8116572956599102E+95</v>
      </c>
      <c r="AK496">
        <f t="shared" si="181"/>
        <v>218.77935792885756</v>
      </c>
      <c r="AL496" t="str">
        <f t="shared" si="182"/>
        <v/>
      </c>
    </row>
    <row r="497" spans="31:38" x14ac:dyDescent="0.25">
      <c r="AE497" t="s">
        <v>520</v>
      </c>
      <c r="AF497" s="4">
        <f t="shared" si="176"/>
        <v>218.77935792885756</v>
      </c>
      <c r="AG497">
        <f t="shared" si="177"/>
        <v>1.0343509146929726E+95</v>
      </c>
      <c r="AH497">
        <f t="shared" si="178"/>
        <v>1.0343519490444017E+95</v>
      </c>
      <c r="AI497">
        <f t="shared" si="179"/>
        <v>1.0343498803425776E+95</v>
      </c>
      <c r="AJ497">
        <f t="shared" si="180"/>
        <v>1.034350912070904E+95</v>
      </c>
      <c r="AK497">
        <f t="shared" si="181"/>
        <v>217.77935792632258</v>
      </c>
      <c r="AL497" t="str">
        <f t="shared" si="182"/>
        <v/>
      </c>
    </row>
    <row r="498" spans="31:38" x14ac:dyDescent="0.25">
      <c r="AE498" t="s">
        <v>521</v>
      </c>
      <c r="AF498" s="4">
        <f t="shared" si="176"/>
        <v>217.77935792632258</v>
      </c>
      <c r="AG498">
        <f t="shared" si="177"/>
        <v>3.8051643550781592E+94</v>
      </c>
      <c r="AH498">
        <f t="shared" si="178"/>
        <v>3.8051681602444075E+94</v>
      </c>
      <c r="AI498">
        <f t="shared" si="179"/>
        <v>3.8051605499157163E+94</v>
      </c>
      <c r="AJ498">
        <f t="shared" si="180"/>
        <v>3.8051643456420036E+94</v>
      </c>
      <c r="AK498">
        <f t="shared" si="181"/>
        <v>216.77935792384275</v>
      </c>
      <c r="AL498" t="str">
        <f t="shared" si="182"/>
        <v/>
      </c>
    </row>
    <row r="499" spans="31:38" x14ac:dyDescent="0.25">
      <c r="AE499" t="s">
        <v>522</v>
      </c>
      <c r="AF499" s="4">
        <f t="shared" si="176"/>
        <v>216.77935792384275</v>
      </c>
      <c r="AG499">
        <f t="shared" si="177"/>
        <v>1.3998417330402859E+94</v>
      </c>
      <c r="AH499">
        <f t="shared" si="178"/>
        <v>1.3998431328827153E+94</v>
      </c>
      <c r="AI499">
        <f t="shared" si="179"/>
        <v>1.3998403331992563E+94</v>
      </c>
      <c r="AJ499">
        <f t="shared" si="180"/>
        <v>1.3998417294980404E+94</v>
      </c>
      <c r="AK499">
        <f t="shared" si="181"/>
        <v>215.77935792131228</v>
      </c>
      <c r="AL499" t="str">
        <f t="shared" si="182"/>
        <v/>
      </c>
    </row>
    <row r="500" spans="31:38" x14ac:dyDescent="0.25">
      <c r="AE500" t="s">
        <v>523</v>
      </c>
      <c r="AF500" s="4">
        <f t="shared" si="176"/>
        <v>215.77935792131228</v>
      </c>
      <c r="AG500">
        <f t="shared" si="177"/>
        <v>5.1497299317619995E+93</v>
      </c>
      <c r="AH500">
        <f t="shared" si="178"/>
        <v>5.1497350814944935E+93</v>
      </c>
      <c r="AI500">
        <f t="shared" si="179"/>
        <v>5.1497247820346559E+93</v>
      </c>
      <c r="AJ500">
        <f t="shared" si="180"/>
        <v>5.1497299188035169E+93</v>
      </c>
      <c r="AK500">
        <f t="shared" si="181"/>
        <v>214.77935791879594</v>
      </c>
      <c r="AL500" t="str">
        <f t="shared" si="182"/>
        <v/>
      </c>
    </row>
    <row r="501" spans="31:38" x14ac:dyDescent="0.25">
      <c r="AE501" t="s">
        <v>524</v>
      </c>
      <c r="AF501" s="4">
        <f t="shared" si="176"/>
        <v>214.77935791879594</v>
      </c>
      <c r="AG501">
        <f t="shared" si="177"/>
        <v>1.8944797647132906E+93</v>
      </c>
      <c r="AH501">
        <f t="shared" si="178"/>
        <v>1.8944816591939978E+93</v>
      </c>
      <c r="AI501">
        <f t="shared" si="179"/>
        <v>1.8944778702344779E+93</v>
      </c>
      <c r="AJ501">
        <f t="shared" si="180"/>
        <v>1.8944797599334346E+93</v>
      </c>
      <c r="AK501">
        <f t="shared" si="181"/>
        <v>213.77935791627289</v>
      </c>
      <c r="AL501" t="str">
        <f t="shared" si="182"/>
        <v/>
      </c>
    </row>
    <row r="502" spans="31:38" x14ac:dyDescent="0.25">
      <c r="AE502" t="s">
        <v>525</v>
      </c>
      <c r="AF502" s="4">
        <f t="shared" si="176"/>
        <v>213.77935791627289</v>
      </c>
      <c r="AG502">
        <f t="shared" si="177"/>
        <v>6.9694015539491456E+92</v>
      </c>
      <c r="AH502">
        <f t="shared" si="178"/>
        <v>6.9694085233541666E+92</v>
      </c>
      <c r="AI502">
        <f t="shared" si="179"/>
        <v>6.9693945845510942E+92</v>
      </c>
      <c r="AJ502">
        <f t="shared" si="180"/>
        <v>6.9694015362280962E+92</v>
      </c>
      <c r="AK502">
        <f t="shared" si="181"/>
        <v>212.77935791373019</v>
      </c>
      <c r="AL502" t="str">
        <f t="shared" si="182"/>
        <v/>
      </c>
    </row>
    <row r="503" spans="31:38" x14ac:dyDescent="0.25">
      <c r="AE503" t="s">
        <v>526</v>
      </c>
      <c r="AF503" s="4">
        <f t="shared" si="176"/>
        <v>212.77935791373019</v>
      </c>
      <c r="AG503">
        <f t="shared" si="177"/>
        <v>2.5638995424469883E+92</v>
      </c>
      <c r="AH503">
        <f t="shared" si="178"/>
        <v>2.5639021063478063E+92</v>
      </c>
      <c r="AI503">
        <f t="shared" si="179"/>
        <v>2.5638969785487343E+92</v>
      </c>
      <c r="AJ503">
        <f t="shared" si="180"/>
        <v>2.56389953600296E+92</v>
      </c>
      <c r="AK503">
        <f t="shared" si="181"/>
        <v>211.77935791121683</v>
      </c>
      <c r="AL503" t="str">
        <f t="shared" si="182"/>
        <v/>
      </c>
    </row>
    <row r="504" spans="31:38" x14ac:dyDescent="0.25">
      <c r="AE504" t="s">
        <v>527</v>
      </c>
      <c r="AF504" s="4">
        <f t="shared" si="176"/>
        <v>211.77935791121683</v>
      </c>
      <c r="AG504">
        <f t="shared" si="177"/>
        <v>9.4320592852449853E+91</v>
      </c>
      <c r="AH504">
        <f t="shared" si="178"/>
        <v>9.432068717308962E+91</v>
      </c>
      <c r="AI504">
        <f t="shared" si="179"/>
        <v>9.4320498531904399E+91</v>
      </c>
      <c r="AJ504">
        <f t="shared" si="180"/>
        <v>9.432059261042201E+91</v>
      </c>
      <c r="AK504">
        <f t="shared" si="181"/>
        <v>210.77935790865081</v>
      </c>
      <c r="AL504" t="str">
        <f t="shared" si="182"/>
        <v/>
      </c>
    </row>
    <row r="505" spans="31:38" x14ac:dyDescent="0.25">
      <c r="AE505" t="s">
        <v>528</v>
      </c>
      <c r="AF505" s="4">
        <f t="shared" si="176"/>
        <v>210.77935790865081</v>
      </c>
      <c r="AG505">
        <f t="shared" si="177"/>
        <v>3.469860690048087E+91</v>
      </c>
      <c r="AH505">
        <f t="shared" si="178"/>
        <v>3.4698641599105037E+91</v>
      </c>
      <c r="AI505">
        <f t="shared" si="179"/>
        <v>3.4698572201891411E+91</v>
      </c>
      <c r="AJ505">
        <f t="shared" si="180"/>
        <v>3.4698606812824406E+91</v>
      </c>
      <c r="AK505">
        <f t="shared" si="181"/>
        <v>209.77935790612457</v>
      </c>
      <c r="AL505" t="str">
        <f t="shared" si="182"/>
        <v/>
      </c>
    </row>
    <row r="506" spans="31:38" x14ac:dyDescent="0.25">
      <c r="AE506" t="s">
        <v>529</v>
      </c>
      <c r="AF506" s="4">
        <f t="shared" si="176"/>
        <v>209.77935790612457</v>
      </c>
      <c r="AG506">
        <f t="shared" si="177"/>
        <v>1.2764904083729305E+91</v>
      </c>
      <c r="AH506">
        <f t="shared" si="178"/>
        <v>1.276491684863974E+91</v>
      </c>
      <c r="AI506">
        <f t="shared" si="179"/>
        <v>1.2764891318831636E+91</v>
      </c>
      <c r="AJ506">
        <f t="shared" si="180"/>
        <v>1.276490405219626E+91</v>
      </c>
      <c r="AK506">
        <f t="shared" si="181"/>
        <v>208.77935790365427</v>
      </c>
      <c r="AL506" t="str">
        <f t="shared" si="182"/>
        <v/>
      </c>
    </row>
    <row r="507" spans="31:38" x14ac:dyDescent="0.25">
      <c r="AE507" t="s">
        <v>530</v>
      </c>
      <c r="AF507" s="4">
        <f t="shared" si="176"/>
        <v>208.77935790365427</v>
      </c>
      <c r="AG507">
        <f t="shared" si="177"/>
        <v>4.695945769328998E+90</v>
      </c>
      <c r="AH507">
        <f t="shared" si="178"/>
        <v>4.6959504652771037E+90</v>
      </c>
      <c r="AI507">
        <f t="shared" si="179"/>
        <v>4.6959410733855882E+90</v>
      </c>
      <c r="AJ507">
        <f t="shared" si="180"/>
        <v>4.6959457577886798E+90</v>
      </c>
      <c r="AK507">
        <f t="shared" si="181"/>
        <v>207.77935790119676</v>
      </c>
      <c r="AL507" t="str">
        <f t="shared" si="182"/>
        <v/>
      </c>
    </row>
    <row r="508" spans="31:38" x14ac:dyDescent="0.25">
      <c r="AE508" t="s">
        <v>531</v>
      </c>
      <c r="AF508" s="4">
        <f t="shared" si="176"/>
        <v>207.77935790119676</v>
      </c>
      <c r="AG508">
        <f t="shared" si="177"/>
        <v>1.7275419011466965E+90</v>
      </c>
      <c r="AH508">
        <f t="shared" si="178"/>
        <v>1.7275436286894569E+90</v>
      </c>
      <c r="AI508">
        <f t="shared" si="179"/>
        <v>1.7275401736056635E+90</v>
      </c>
      <c r="AJ508">
        <f t="shared" si="180"/>
        <v>1.727541896696598E+90</v>
      </c>
      <c r="AK508">
        <f t="shared" si="181"/>
        <v>206.77935789862079</v>
      </c>
      <c r="AL508" t="str">
        <f t="shared" si="182"/>
        <v/>
      </c>
    </row>
    <row r="509" spans="31:38" x14ac:dyDescent="0.25">
      <c r="AE509" t="s">
        <v>532</v>
      </c>
      <c r="AF509" s="4">
        <f t="shared" si="176"/>
        <v>206.77935789862079</v>
      </c>
      <c r="AG509">
        <f t="shared" si="177"/>
        <v>6.3552714755699686E+89</v>
      </c>
      <c r="AH509">
        <f t="shared" si="178"/>
        <v>6.3552778308446056E+89</v>
      </c>
      <c r="AI509">
        <f t="shared" si="179"/>
        <v>6.3552651203016867E+89</v>
      </c>
      <c r="AJ509">
        <f t="shared" si="180"/>
        <v>6.3552714594405173E+89</v>
      </c>
      <c r="AK509">
        <f t="shared" si="181"/>
        <v>205.77935789608281</v>
      </c>
      <c r="AL509" t="str">
        <f t="shared" si="182"/>
        <v/>
      </c>
    </row>
    <row r="510" spans="31:38" x14ac:dyDescent="0.25">
      <c r="AE510" t="s">
        <v>533</v>
      </c>
      <c r="AF510" s="4">
        <f t="shared" si="176"/>
        <v>205.77935789608281</v>
      </c>
      <c r="AG510">
        <f t="shared" si="177"/>
        <v>2.3379737129917726E+89</v>
      </c>
      <c r="AH510">
        <f t="shared" si="178"/>
        <v>2.3379760509666487E+89</v>
      </c>
      <c r="AI510">
        <f t="shared" si="179"/>
        <v>2.3379713750192344E+89</v>
      </c>
      <c r="AJ510">
        <f t="shared" si="180"/>
        <v>2.337973707136176E+89</v>
      </c>
      <c r="AK510">
        <f t="shared" si="181"/>
        <v>204.77935789357826</v>
      </c>
      <c r="AL510" t="str">
        <f t="shared" si="182"/>
        <v/>
      </c>
    </row>
    <row r="511" spans="31:38" x14ac:dyDescent="0.25">
      <c r="AE511" t="s">
        <v>534</v>
      </c>
      <c r="AF511" s="4">
        <f t="shared" si="176"/>
        <v>204.77935789357826</v>
      </c>
      <c r="AG511">
        <f t="shared" si="177"/>
        <v>8.6009246085479128E+88</v>
      </c>
      <c r="AH511">
        <f t="shared" si="178"/>
        <v>8.6009332094767993E+88</v>
      </c>
      <c r="AI511">
        <f t="shared" si="179"/>
        <v>8.6009160076276259E+88</v>
      </c>
      <c r="AJ511">
        <f t="shared" si="180"/>
        <v>8.6009245867060208E+88</v>
      </c>
      <c r="AK511">
        <f t="shared" si="181"/>
        <v>203.77935789103879</v>
      </c>
      <c r="AL511" t="str">
        <f t="shared" si="182"/>
        <v/>
      </c>
    </row>
    <row r="512" spans="31:38" x14ac:dyDescent="0.25">
      <c r="AE512" t="s">
        <v>535</v>
      </c>
      <c r="AF512" s="4">
        <f t="shared" si="176"/>
        <v>203.77935789103879</v>
      </c>
      <c r="AG512">
        <f t="shared" si="177"/>
        <v>3.1641033305151361E+88</v>
      </c>
      <c r="AH512">
        <f t="shared" si="178"/>
        <v>3.1641064946200404E+88</v>
      </c>
      <c r="AI512">
        <f t="shared" si="179"/>
        <v>3.1641001664133954E+88</v>
      </c>
      <c r="AJ512">
        <f t="shared" si="180"/>
        <v>3.1641033224989686E+88</v>
      </c>
      <c r="AK512">
        <f t="shared" si="181"/>
        <v>202.7793578885053</v>
      </c>
      <c r="AL512" t="str">
        <f t="shared" si="182"/>
        <v/>
      </c>
    </row>
    <row r="513" spans="31:38" x14ac:dyDescent="0.25">
      <c r="AE513" t="s">
        <v>536</v>
      </c>
      <c r="AF513" s="4">
        <f t="shared" si="176"/>
        <v>202.7793578885053</v>
      </c>
      <c r="AG513">
        <f t="shared" si="177"/>
        <v>1.164008562089612E+88</v>
      </c>
      <c r="AH513">
        <f t="shared" si="178"/>
        <v>1.1640097260987532E+88</v>
      </c>
      <c r="AI513">
        <f t="shared" si="179"/>
        <v>1.1640073980816349E+88</v>
      </c>
      <c r="AJ513">
        <f t="shared" si="180"/>
        <v>1.1640085591643688E+88</v>
      </c>
      <c r="AK513">
        <f t="shared" si="181"/>
        <v>201.77935788599223</v>
      </c>
      <c r="AL513" t="str">
        <f t="shared" si="182"/>
        <v/>
      </c>
    </row>
    <row r="514" spans="31:38" x14ac:dyDescent="0.25">
      <c r="AE514" t="s">
        <v>537</v>
      </c>
      <c r="AF514" s="4">
        <f t="shared" si="176"/>
        <v>201.77935788599223</v>
      </c>
      <c r="AG514">
        <f t="shared" si="177"/>
        <v>4.2821481826416428E+87</v>
      </c>
      <c r="AH514">
        <f t="shared" si="178"/>
        <v>4.2821524647919556E+87</v>
      </c>
      <c r="AI514">
        <f t="shared" si="179"/>
        <v>4.2821439004956119E+87</v>
      </c>
      <c r="AJ514">
        <f t="shared" si="180"/>
        <v>4.2821481718214987E+87</v>
      </c>
      <c r="AK514">
        <f t="shared" si="181"/>
        <v>200.77935788346542</v>
      </c>
      <c r="AL514" t="str">
        <f t="shared" si="182"/>
        <v/>
      </c>
    </row>
    <row r="515" spans="31:38" x14ac:dyDescent="0.25">
      <c r="AE515" t="s">
        <v>538</v>
      </c>
      <c r="AF515" s="4">
        <f t="shared" si="176"/>
        <v>200.77935788346542</v>
      </c>
      <c r="AG515">
        <f t="shared" si="177"/>
        <v>1.5753142764630048E+87</v>
      </c>
      <c r="AH515">
        <f t="shared" si="178"/>
        <v>1.5753158517780651E+87</v>
      </c>
      <c r="AI515">
        <f t="shared" si="179"/>
        <v>1.5753127011495201E+87</v>
      </c>
      <c r="AJ515">
        <f t="shared" si="180"/>
        <v>1.5753142724938853E+87</v>
      </c>
      <c r="AK515">
        <f t="shared" si="181"/>
        <v>199.77935788094584</v>
      </c>
      <c r="AL515" t="str">
        <f t="shared" si="182"/>
        <v/>
      </c>
    </row>
    <row r="516" spans="31:38" x14ac:dyDescent="0.25">
      <c r="AE516" t="s">
        <v>539</v>
      </c>
      <c r="AF516" s="4">
        <f t="shared" si="176"/>
        <v>199.77935788094584</v>
      </c>
      <c r="AG516">
        <f t="shared" si="177"/>
        <v>5.7952573423444113E+86</v>
      </c>
      <c r="AH516">
        <f t="shared" si="178"/>
        <v>5.7952631376046368E+86</v>
      </c>
      <c r="AI516">
        <f t="shared" si="179"/>
        <v>5.7952515470899811E+86</v>
      </c>
      <c r="AJ516">
        <f t="shared" si="180"/>
        <v>5.7952573278247736E+86</v>
      </c>
      <c r="AK516">
        <f t="shared" si="181"/>
        <v>198.77935787844041</v>
      </c>
      <c r="AL516" t="str">
        <f t="shared" si="182"/>
        <v/>
      </c>
    </row>
    <row r="517" spans="31:38" x14ac:dyDescent="0.25">
      <c r="AE517" t="s">
        <v>540</v>
      </c>
      <c r="AF517" s="4">
        <f t="shared" si="176"/>
        <v>198.77935787844041</v>
      </c>
      <c r="AG517">
        <f t="shared" si="177"/>
        <v>2.1319560272048924E+86</v>
      </c>
      <c r="AH517">
        <f t="shared" si="178"/>
        <v>2.13195815916198E+86</v>
      </c>
      <c r="AI517">
        <f t="shared" si="179"/>
        <v>2.1319538952499364E+86</v>
      </c>
      <c r="AJ517">
        <f t="shared" si="180"/>
        <v>2.1319560218173497E+86</v>
      </c>
      <c r="AK517">
        <f t="shared" si="181"/>
        <v>197.77935787591338</v>
      </c>
      <c r="AL517" t="str">
        <f t="shared" si="182"/>
        <v/>
      </c>
    </row>
    <row r="518" spans="31:38" x14ac:dyDescent="0.25">
      <c r="AE518" t="s">
        <v>541</v>
      </c>
      <c r="AF518" s="4">
        <f t="shared" si="176"/>
        <v>197.77935787591338</v>
      </c>
      <c r="AG518">
        <f t="shared" si="177"/>
        <v>7.8430278990826663E+85</v>
      </c>
      <c r="AH518">
        <f t="shared" si="178"/>
        <v>7.8430357421144665E+85</v>
      </c>
      <c r="AI518">
        <f t="shared" si="179"/>
        <v>7.8430200560587079E+85</v>
      </c>
      <c r="AJ518">
        <f t="shared" si="180"/>
        <v>7.8430278793020266E+85</v>
      </c>
      <c r="AK518">
        <f t="shared" si="181"/>
        <v>196.77935787339132</v>
      </c>
      <c r="AL518" t="str">
        <f t="shared" si="182"/>
        <v/>
      </c>
    </row>
    <row r="519" spans="31:38" x14ac:dyDescent="0.25">
      <c r="AE519" t="s">
        <v>542</v>
      </c>
      <c r="AF519" s="4">
        <f t="shared" si="176"/>
        <v>196.77935787339132</v>
      </c>
      <c r="AG519">
        <f t="shared" si="177"/>
        <v>2.8852887133296991E+85</v>
      </c>
      <c r="AH519">
        <f t="shared" si="178"/>
        <v>2.885291598619848E+85</v>
      </c>
      <c r="AI519">
        <f t="shared" si="179"/>
        <v>2.8852858280424359E+85</v>
      </c>
      <c r="AJ519">
        <f t="shared" si="180"/>
        <v>2.8852887060635847E+85</v>
      </c>
      <c r="AK519">
        <f t="shared" si="181"/>
        <v>195.77935787087299</v>
      </c>
      <c r="AL519" t="str">
        <f t="shared" si="182"/>
        <v/>
      </c>
    </row>
    <row r="520" spans="31:38" x14ac:dyDescent="0.25">
      <c r="AE520" t="s">
        <v>543</v>
      </c>
      <c r="AF520" s="4">
        <f t="shared" si="176"/>
        <v>195.77935787087299</v>
      </c>
      <c r="AG520">
        <f t="shared" si="177"/>
        <v>1.0614383968049432E+85</v>
      </c>
      <c r="AH520">
        <f t="shared" si="178"/>
        <v>1.0614394582438679E+85</v>
      </c>
      <c r="AI520">
        <f t="shared" si="179"/>
        <v>1.0614373353670798E+85</v>
      </c>
      <c r="AJ520">
        <f t="shared" si="180"/>
        <v>1.0614383940645479E+85</v>
      </c>
      <c r="AK520">
        <f t="shared" si="181"/>
        <v>194.77935786829121</v>
      </c>
      <c r="AL520" t="str">
        <f t="shared" si="182"/>
        <v/>
      </c>
    </row>
    <row r="521" spans="31:38" x14ac:dyDescent="0.25">
      <c r="AE521" t="s">
        <v>544</v>
      </c>
      <c r="AF521" s="4">
        <f t="shared" si="176"/>
        <v>194.77935786829121</v>
      </c>
      <c r="AG521">
        <f t="shared" si="177"/>
        <v>3.9048136324638061E+84</v>
      </c>
      <c r="AH521">
        <f t="shared" si="178"/>
        <v>3.9048175372793813E+84</v>
      </c>
      <c r="AI521">
        <f t="shared" si="179"/>
        <v>3.9048097276521356E+84</v>
      </c>
      <c r="AJ521">
        <f t="shared" si="180"/>
        <v>3.904813622859907E+84</v>
      </c>
      <c r="AK521">
        <f t="shared" si="181"/>
        <v>193.77935786583171</v>
      </c>
      <c r="AL521" t="str">
        <f t="shared" si="182"/>
        <v/>
      </c>
    </row>
    <row r="522" spans="31:38" x14ac:dyDescent="0.25">
      <c r="AE522" t="s">
        <v>545</v>
      </c>
      <c r="AF522" s="4">
        <f t="shared" si="176"/>
        <v>193.77935786583171</v>
      </c>
      <c r="AG522">
        <f t="shared" si="177"/>
        <v>1.4365006534563399E+84</v>
      </c>
      <c r="AH522">
        <f t="shared" si="178"/>
        <v>1.4365020899577079E+84</v>
      </c>
      <c r="AI522">
        <f t="shared" si="179"/>
        <v>1.4364992169564083E+84</v>
      </c>
      <c r="AJ522">
        <f t="shared" si="180"/>
        <v>1.4365006497717898E+84</v>
      </c>
      <c r="AK522">
        <f t="shared" si="181"/>
        <v>192.77935786326677</v>
      </c>
      <c r="AL522" t="str">
        <f t="shared" si="182"/>
        <v/>
      </c>
    </row>
    <row r="523" spans="31:38" x14ac:dyDescent="0.25">
      <c r="AE523" t="s">
        <v>546</v>
      </c>
      <c r="AF523" s="4">
        <f t="shared" si="176"/>
        <v>192.77935786326677</v>
      </c>
      <c r="AG523">
        <f t="shared" si="177"/>
        <v>5.2845905628046129E+83</v>
      </c>
      <c r="AH523">
        <f t="shared" si="178"/>
        <v>5.284595847397805E+83</v>
      </c>
      <c r="AI523">
        <f t="shared" si="179"/>
        <v>5.284585278216706E+83</v>
      </c>
      <c r="AJ523">
        <f t="shared" si="180"/>
        <v>5.2845905494811226E+83</v>
      </c>
      <c r="AK523">
        <f t="shared" si="181"/>
        <v>191.77935786074556</v>
      </c>
      <c r="AL523" t="str">
        <f t="shared" si="182"/>
        <v/>
      </c>
    </row>
    <row r="524" spans="31:38" x14ac:dyDescent="0.25">
      <c r="AE524" t="s">
        <v>547</v>
      </c>
      <c r="AF524" s="4">
        <f t="shared" si="176"/>
        <v>191.77935786074556</v>
      </c>
      <c r="AG524">
        <f t="shared" si="177"/>
        <v>1.9440922181629847E+83</v>
      </c>
      <c r="AH524">
        <f t="shared" si="178"/>
        <v>1.9440941622561699E+83</v>
      </c>
      <c r="AI524">
        <f t="shared" si="179"/>
        <v>1.9440902740717436E+83</v>
      </c>
      <c r="AJ524">
        <f t="shared" si="180"/>
        <v>1.9440922131447424E+83</v>
      </c>
      <c r="AK524">
        <f t="shared" si="181"/>
        <v>190.77935785816427</v>
      </c>
      <c r="AL524" t="str">
        <f t="shared" si="182"/>
        <v/>
      </c>
    </row>
    <row r="525" spans="31:38" x14ac:dyDescent="0.25">
      <c r="AE525" t="s">
        <v>548</v>
      </c>
      <c r="AF525" s="4">
        <f t="shared" si="176"/>
        <v>190.77935785816427</v>
      </c>
      <c r="AG525">
        <f t="shared" si="177"/>
        <v>7.1519155695743307E+82</v>
      </c>
      <c r="AH525">
        <f t="shared" si="178"/>
        <v>7.1519227214934577E+82</v>
      </c>
      <c r="AI525">
        <f t="shared" si="179"/>
        <v>7.1519084176623548E+82</v>
      </c>
      <c r="AJ525">
        <f t="shared" si="180"/>
        <v>7.1519155514135067E+82</v>
      </c>
      <c r="AK525">
        <f t="shared" si="181"/>
        <v>189.77935785562499</v>
      </c>
      <c r="AL525" t="str">
        <f t="shared" si="182"/>
        <v/>
      </c>
    </row>
    <row r="526" spans="31:38" x14ac:dyDescent="0.25">
      <c r="AE526" t="s">
        <v>549</v>
      </c>
      <c r="AF526" s="4">
        <f t="shared" si="176"/>
        <v>189.77935785562499</v>
      </c>
      <c r="AG526">
        <f t="shared" si="177"/>
        <v>2.6310426963593864E+82</v>
      </c>
      <c r="AH526">
        <f t="shared" si="178"/>
        <v>2.6310453274033915E+82</v>
      </c>
      <c r="AI526">
        <f t="shared" si="179"/>
        <v>2.631040065318012E+82</v>
      </c>
      <c r="AJ526">
        <f t="shared" si="180"/>
        <v>2.63104268973871E+82</v>
      </c>
      <c r="AK526">
        <f t="shared" si="181"/>
        <v>188.77935785310862</v>
      </c>
      <c r="AL526" t="str">
        <f t="shared" si="182"/>
        <v/>
      </c>
    </row>
    <row r="527" spans="31:38" x14ac:dyDescent="0.25">
      <c r="AE527" t="s">
        <v>550</v>
      </c>
      <c r="AF527" s="4">
        <f t="shared" si="176"/>
        <v>188.77935785310862</v>
      </c>
      <c r="AG527">
        <f t="shared" si="177"/>
        <v>9.6790651439928217E+81</v>
      </c>
      <c r="AH527">
        <f t="shared" si="178"/>
        <v>9.6790748230627808E+81</v>
      </c>
      <c r="AI527">
        <f t="shared" si="179"/>
        <v>9.6790554649325413E+81</v>
      </c>
      <c r="AJ527">
        <f t="shared" si="180"/>
        <v>9.679065119728221E+81</v>
      </c>
      <c r="AK527">
        <f t="shared" si="181"/>
        <v>187.77935785060171</v>
      </c>
      <c r="AL527" t="str">
        <f t="shared" si="182"/>
        <v/>
      </c>
    </row>
    <row r="528" spans="31:38" x14ac:dyDescent="0.25">
      <c r="AE528" t="s">
        <v>551</v>
      </c>
      <c r="AF528" s="4">
        <f t="shared" ref="AF528:AF591" si="183">AK527</f>
        <v>187.77935785060171</v>
      </c>
      <c r="AG528">
        <f t="shared" ref="AG528:AG591" si="184">EXP(AF528)-ATAN(AF528)-1.5</f>
        <v>3.5607290673076432E+81</v>
      </c>
      <c r="AH528">
        <f t="shared" ref="AH528:AH591" si="185">EXP(AF528+E$6)-ATAN(AF528+E$6)-1.5</f>
        <v>3.5607326280384819E+81</v>
      </c>
      <c r="AI528">
        <f t="shared" ref="AI528:AI591" si="186">EXP(AF528-E$6)-ATAN(AF528-E$6)-1.5</f>
        <v>3.5607255065803652E+81</v>
      </c>
      <c r="AJ528">
        <f t="shared" ref="AJ528:AJ591" si="187">(AH528-AI528)/(E$6*2)</f>
        <v>3.5607290583649627E+81</v>
      </c>
      <c r="AK528">
        <f t="shared" ref="AK528:AK591" si="188">AF528-AG528/AJ528</f>
        <v>186.77935784809023</v>
      </c>
      <c r="AL528" t="str">
        <f t="shared" ref="AL528:AL591" si="189">IF(AF529=AF528,"STOP","")</f>
        <v/>
      </c>
    </row>
    <row r="529" spans="31:38" x14ac:dyDescent="0.25">
      <c r="AE529" t="s">
        <v>552</v>
      </c>
      <c r="AF529" s="4">
        <f t="shared" si="183"/>
        <v>186.77935784809023</v>
      </c>
      <c r="AG529">
        <f t="shared" si="184"/>
        <v>1.3099190161542057E+81</v>
      </c>
      <c r="AH529">
        <f t="shared" si="185"/>
        <v>1.3099203260738736E+81</v>
      </c>
      <c r="AI529">
        <f t="shared" si="186"/>
        <v>1.3099177062358478E+81</v>
      </c>
      <c r="AJ529">
        <f t="shared" si="187"/>
        <v>1.3099190128525301E+81</v>
      </c>
      <c r="AK529">
        <f t="shared" si="188"/>
        <v>185.77935784556971</v>
      </c>
      <c r="AL529" t="str">
        <f t="shared" si="189"/>
        <v/>
      </c>
    </row>
    <row r="530" spans="31:38" x14ac:dyDescent="0.25">
      <c r="AE530" t="s">
        <v>553</v>
      </c>
      <c r="AF530" s="4">
        <f t="shared" si="183"/>
        <v>185.77935784556971</v>
      </c>
      <c r="AG530">
        <f t="shared" si="184"/>
        <v>4.8189227442803441E+80</v>
      </c>
      <c r="AH530">
        <f t="shared" si="185"/>
        <v>4.8189275632054853E+80</v>
      </c>
      <c r="AI530">
        <f t="shared" si="186"/>
        <v>4.8189179253600209E+80</v>
      </c>
      <c r="AJ530">
        <f t="shared" si="187"/>
        <v>4.8189227321803061E+80</v>
      </c>
      <c r="AK530">
        <f t="shared" si="188"/>
        <v>184.77935784305876</v>
      </c>
      <c r="AL530" t="str">
        <f t="shared" si="189"/>
        <v/>
      </c>
    </row>
    <row r="531" spans="31:38" x14ac:dyDescent="0.25">
      <c r="AE531" t="s">
        <v>554</v>
      </c>
      <c r="AF531" s="4">
        <f t="shared" si="183"/>
        <v>184.77935784305876</v>
      </c>
      <c r="AG531">
        <f t="shared" si="184"/>
        <v>1.7727826017628477E+80</v>
      </c>
      <c r="AH531">
        <f t="shared" si="185"/>
        <v>1.7727843745463314E+80</v>
      </c>
      <c r="AI531">
        <f t="shared" si="186"/>
        <v>1.7727808289811368E+80</v>
      </c>
      <c r="AJ531">
        <f t="shared" si="187"/>
        <v>1.7727825973088292E+80</v>
      </c>
      <c r="AK531">
        <f t="shared" si="188"/>
        <v>183.77935784054631</v>
      </c>
      <c r="AL531" t="str">
        <f t="shared" si="189"/>
        <v/>
      </c>
    </row>
    <row r="532" spans="31:38" x14ac:dyDescent="0.25">
      <c r="AE532" t="s">
        <v>555</v>
      </c>
      <c r="AF532" s="4">
        <f t="shared" si="183"/>
        <v>183.77935784054631</v>
      </c>
      <c r="AG532">
        <f t="shared" si="184"/>
        <v>6.5217027121642642E+79</v>
      </c>
      <c r="AH532">
        <f t="shared" si="185"/>
        <v>6.5217092338702204E+79</v>
      </c>
      <c r="AI532">
        <f t="shared" si="186"/>
        <v>6.5216961904648294E+79</v>
      </c>
      <c r="AJ532">
        <f t="shared" si="187"/>
        <v>6.5217026954658221E+79</v>
      </c>
      <c r="AK532">
        <f t="shared" si="188"/>
        <v>182.77935783798586</v>
      </c>
      <c r="AL532" t="str">
        <f t="shared" si="189"/>
        <v/>
      </c>
    </row>
    <row r="533" spans="31:38" x14ac:dyDescent="0.25">
      <c r="AE533" t="s">
        <v>556</v>
      </c>
      <c r="AF533" s="4">
        <f t="shared" si="183"/>
        <v>182.77935783798586</v>
      </c>
      <c r="AG533">
        <f t="shared" si="184"/>
        <v>2.3992003430942247E+79</v>
      </c>
      <c r="AH533">
        <f t="shared" si="185"/>
        <v>2.3992027422957614E+79</v>
      </c>
      <c r="AI533">
        <f t="shared" si="186"/>
        <v>2.3991979438950874E+79</v>
      </c>
      <c r="AJ533">
        <f t="shared" si="187"/>
        <v>2.3992003370320424E+79</v>
      </c>
      <c r="AK533">
        <f t="shared" si="188"/>
        <v>181.77935783545911</v>
      </c>
      <c r="AL533" t="str">
        <f t="shared" si="189"/>
        <v/>
      </c>
    </row>
    <row r="534" spans="31:38" x14ac:dyDescent="0.25">
      <c r="AE534" t="s">
        <v>557</v>
      </c>
      <c r="AF534" s="4">
        <f t="shared" si="183"/>
        <v>181.77935783545911</v>
      </c>
      <c r="AG534">
        <f t="shared" si="184"/>
        <v>8.8261647924568771E+78</v>
      </c>
      <c r="AH534">
        <f t="shared" si="185"/>
        <v>8.8261736186260594E+78</v>
      </c>
      <c r="AI534">
        <f t="shared" si="186"/>
        <v>8.8261559662965196E+78</v>
      </c>
      <c r="AJ534">
        <f t="shared" si="187"/>
        <v>8.8261647698987999E+78</v>
      </c>
      <c r="AK534">
        <f t="shared" si="188"/>
        <v>180.77935783290329</v>
      </c>
      <c r="AL534" t="str">
        <f t="shared" si="189"/>
        <v/>
      </c>
    </row>
    <row r="535" spans="31:38" x14ac:dyDescent="0.25">
      <c r="AE535" t="s">
        <v>558</v>
      </c>
      <c r="AF535" s="4">
        <f t="shared" si="183"/>
        <v>180.77935783290329</v>
      </c>
      <c r="AG535">
        <f t="shared" si="184"/>
        <v>3.246964563237431E+78</v>
      </c>
      <c r="AH535">
        <f t="shared" si="185"/>
        <v>3.2469678102036095E+78</v>
      </c>
      <c r="AI535">
        <f t="shared" si="186"/>
        <v>3.2469613162744991E+78</v>
      </c>
      <c r="AJ535">
        <f t="shared" si="187"/>
        <v>3.2469645552380513E+78</v>
      </c>
      <c r="AK535">
        <f t="shared" si="188"/>
        <v>179.77935783043964</v>
      </c>
      <c r="AL535" t="str">
        <f t="shared" si="189"/>
        <v/>
      </c>
    </row>
    <row r="536" spans="31:38" x14ac:dyDescent="0.25">
      <c r="AE536" t="s">
        <v>559</v>
      </c>
      <c r="AF536" s="4">
        <f t="shared" si="183"/>
        <v>179.77935783043964</v>
      </c>
      <c r="AG536">
        <f t="shared" si="184"/>
        <v>1.1944915060844526E+78</v>
      </c>
      <c r="AH536">
        <f t="shared" si="185"/>
        <v>1.1944927005765529E+78</v>
      </c>
      <c r="AI536">
        <f t="shared" si="186"/>
        <v>1.1944903115935467E+78</v>
      </c>
      <c r="AJ536">
        <f t="shared" si="187"/>
        <v>1.1944915030828669E+78</v>
      </c>
      <c r="AK536">
        <f t="shared" si="188"/>
        <v>178.77935782792679</v>
      </c>
      <c r="AL536" t="str">
        <f t="shared" si="189"/>
        <v/>
      </c>
    </row>
    <row r="537" spans="31:38" x14ac:dyDescent="0.25">
      <c r="AE537" t="s">
        <v>560</v>
      </c>
      <c r="AF537" s="4">
        <f t="shared" si="183"/>
        <v>178.77935782792679</v>
      </c>
      <c r="AG537">
        <f t="shared" si="184"/>
        <v>4.3942886663816468E+77</v>
      </c>
      <c r="AH537">
        <f t="shared" si="185"/>
        <v>4.3942930606724998E+77</v>
      </c>
      <c r="AI537">
        <f t="shared" si="186"/>
        <v>4.3942842720951888E+77</v>
      </c>
      <c r="AJ537">
        <f t="shared" si="187"/>
        <v>4.3942886554825815E+77</v>
      </c>
      <c r="AK537">
        <f t="shared" si="188"/>
        <v>177.77935782544651</v>
      </c>
      <c r="AL537" t="str">
        <f t="shared" si="189"/>
        <v/>
      </c>
    </row>
    <row r="538" spans="31:38" x14ac:dyDescent="0.25">
      <c r="AE538" t="s">
        <v>561</v>
      </c>
      <c r="AF538" s="4">
        <f t="shared" si="183"/>
        <v>177.77935782544651</v>
      </c>
      <c r="AG538">
        <f t="shared" si="184"/>
        <v>1.6165684549249448E+77</v>
      </c>
      <c r="AH538">
        <f t="shared" si="185"/>
        <v>1.6165700714942039E+77</v>
      </c>
      <c r="AI538">
        <f t="shared" si="186"/>
        <v>1.6165668383573022E+77</v>
      </c>
      <c r="AJ538">
        <f t="shared" si="187"/>
        <v>1.6165684508262385E+77</v>
      </c>
      <c r="AK538">
        <f t="shared" si="188"/>
        <v>176.77935782291107</v>
      </c>
      <c r="AL538" t="str">
        <f t="shared" si="189"/>
        <v/>
      </c>
    </row>
    <row r="539" spans="31:38" x14ac:dyDescent="0.25">
      <c r="AE539" t="s">
        <v>562</v>
      </c>
      <c r="AF539" s="4">
        <f t="shared" si="183"/>
        <v>176.77935782291107</v>
      </c>
      <c r="AG539">
        <f t="shared" si="184"/>
        <v>5.9470229830533637E+76</v>
      </c>
      <c r="AH539">
        <f t="shared" si="185"/>
        <v>5.9470289300793046E+76</v>
      </c>
      <c r="AI539">
        <f t="shared" si="186"/>
        <v>5.9470170360333685E+76</v>
      </c>
      <c r="AJ539">
        <f t="shared" si="187"/>
        <v>5.9470229680554214E+76</v>
      </c>
      <c r="AK539">
        <f t="shared" si="188"/>
        <v>175.77935782038915</v>
      </c>
      <c r="AL539" t="str">
        <f t="shared" si="189"/>
        <v/>
      </c>
    </row>
    <row r="540" spans="31:38" x14ac:dyDescent="0.25">
      <c r="AE540" t="s">
        <v>563</v>
      </c>
      <c r="AF540" s="4">
        <f t="shared" si="183"/>
        <v>175.77935782038915</v>
      </c>
      <c r="AG540">
        <f t="shared" si="184"/>
        <v>2.187787486121981E+76</v>
      </c>
      <c r="AH540">
        <f t="shared" si="185"/>
        <v>2.1877896739105555E+76</v>
      </c>
      <c r="AI540">
        <f t="shared" si="186"/>
        <v>2.1877852983355941E+76</v>
      </c>
      <c r="AJ540">
        <f t="shared" si="187"/>
        <v>2.187787480682414E+76</v>
      </c>
      <c r="AK540">
        <f t="shared" si="188"/>
        <v>174.77935781790282</v>
      </c>
      <c r="AL540" t="str">
        <f t="shared" si="189"/>
        <v/>
      </c>
    </row>
    <row r="541" spans="31:38" x14ac:dyDescent="0.25">
      <c r="AE541" t="s">
        <v>564</v>
      </c>
      <c r="AF541" s="4">
        <f t="shared" si="183"/>
        <v>174.77935781790282</v>
      </c>
      <c r="AG541">
        <f t="shared" si="184"/>
        <v>8.048420357953251E+75</v>
      </c>
      <c r="AH541">
        <f t="shared" si="185"/>
        <v>8.0484284063776134E+75</v>
      </c>
      <c r="AI541">
        <f t="shared" si="186"/>
        <v>8.0484123095369378E+75</v>
      </c>
      <c r="AJ541">
        <f t="shared" si="187"/>
        <v>8.0484203378357173E+75</v>
      </c>
      <c r="AK541">
        <f t="shared" si="188"/>
        <v>173.77935781540324</v>
      </c>
      <c r="AL541" t="str">
        <f t="shared" si="189"/>
        <v/>
      </c>
    </row>
    <row r="542" spans="31:38" x14ac:dyDescent="0.25">
      <c r="AE542" t="s">
        <v>565</v>
      </c>
      <c r="AF542" s="4">
        <f t="shared" si="183"/>
        <v>173.77935781540324</v>
      </c>
      <c r="AG542">
        <f t="shared" si="184"/>
        <v>2.9608483761958375E+75</v>
      </c>
      <c r="AH542">
        <f t="shared" si="185"/>
        <v>2.9608513370456864E+75</v>
      </c>
      <c r="AI542">
        <f t="shared" si="186"/>
        <v>2.960845415348949E+75</v>
      </c>
      <c r="AJ542">
        <f t="shared" si="187"/>
        <v>2.9608483686838762E+75</v>
      </c>
      <c r="AK542">
        <f t="shared" si="188"/>
        <v>172.77935781286615</v>
      </c>
      <c r="AL542" t="str">
        <f t="shared" si="189"/>
        <v/>
      </c>
    </row>
    <row r="543" spans="31:38" x14ac:dyDescent="0.25">
      <c r="AE543" t="s">
        <v>566</v>
      </c>
      <c r="AF543" s="4">
        <f t="shared" si="183"/>
        <v>172.77935781286615</v>
      </c>
      <c r="AG543">
        <f t="shared" si="184"/>
        <v>1.0892352432648068E+75</v>
      </c>
      <c r="AH543">
        <f t="shared" si="185"/>
        <v>1.0892363325005918E+75</v>
      </c>
      <c r="AI543">
        <f t="shared" si="186"/>
        <v>1.0892341540301109E+75</v>
      </c>
      <c r="AJ543">
        <f t="shared" si="187"/>
        <v>1.0892352404491798E+75</v>
      </c>
      <c r="AK543">
        <f t="shared" si="188"/>
        <v>171.7793578102812</v>
      </c>
      <c r="AL543" t="str">
        <f t="shared" si="189"/>
        <v/>
      </c>
    </row>
    <row r="544" spans="31:38" x14ac:dyDescent="0.25">
      <c r="AE544" t="s">
        <v>567</v>
      </c>
      <c r="AF544" s="4">
        <f t="shared" si="183"/>
        <v>171.7793578102812</v>
      </c>
      <c r="AG544">
        <f t="shared" si="184"/>
        <v>4.0070725156068712E+74</v>
      </c>
      <c r="AH544">
        <f t="shared" si="185"/>
        <v>4.0070765226813804E+74</v>
      </c>
      <c r="AI544">
        <f t="shared" si="186"/>
        <v>4.0070685085363692E+74</v>
      </c>
      <c r="AJ544">
        <f t="shared" si="187"/>
        <v>4.00707250560464E+74</v>
      </c>
      <c r="AK544">
        <f t="shared" si="188"/>
        <v>170.77935780778506</v>
      </c>
      <c r="AL544" t="str">
        <f t="shared" si="189"/>
        <v/>
      </c>
    </row>
    <row r="545" spans="31:38" x14ac:dyDescent="0.25">
      <c r="AE545" t="s">
        <v>568</v>
      </c>
      <c r="AF545" s="4">
        <f t="shared" si="183"/>
        <v>170.77935780778506</v>
      </c>
      <c r="AG545">
        <f t="shared" si="184"/>
        <v>1.4741195940952976E+74</v>
      </c>
      <c r="AH545">
        <f t="shared" si="185"/>
        <v>1.4741210682156249E+74</v>
      </c>
      <c r="AI545">
        <f t="shared" si="186"/>
        <v>1.474118119976444E+74</v>
      </c>
      <c r="AJ545">
        <f t="shared" si="187"/>
        <v>1.4741195904576717E+74</v>
      </c>
      <c r="AK545">
        <f t="shared" si="188"/>
        <v>169.7793578053174</v>
      </c>
      <c r="AL545" t="str">
        <f t="shared" si="189"/>
        <v/>
      </c>
    </row>
    <row r="546" spans="31:38" x14ac:dyDescent="0.25">
      <c r="AE546" t="s">
        <v>569</v>
      </c>
      <c r="AF546" s="4">
        <f t="shared" si="183"/>
        <v>169.7793578053174</v>
      </c>
      <c r="AG546">
        <f t="shared" si="184"/>
        <v>5.4229829115744462E+73</v>
      </c>
      <c r="AH546">
        <f t="shared" si="185"/>
        <v>5.4229883345600559E+73</v>
      </c>
      <c r="AI546">
        <f t="shared" si="186"/>
        <v>5.4229774885942599E+73</v>
      </c>
      <c r="AJ546">
        <f t="shared" si="187"/>
        <v>5.4229828979915733E+73</v>
      </c>
      <c r="AK546">
        <f t="shared" si="188"/>
        <v>168.77935780281271</v>
      </c>
      <c r="AL546" t="str">
        <f t="shared" si="189"/>
        <v/>
      </c>
    </row>
    <row r="547" spans="31:38" x14ac:dyDescent="0.25">
      <c r="AE547" t="s">
        <v>570</v>
      </c>
      <c r="AF547" s="4">
        <f t="shared" si="183"/>
        <v>168.77935780281271</v>
      </c>
      <c r="AG547">
        <f t="shared" si="184"/>
        <v>1.9950039179954192E+73</v>
      </c>
      <c r="AH547">
        <f t="shared" si="185"/>
        <v>1.9950059130003297E+73</v>
      </c>
      <c r="AI547">
        <f t="shared" si="186"/>
        <v>1.9950019229925036E+73</v>
      </c>
      <c r="AJ547">
        <f t="shared" si="187"/>
        <v>1.9950039130138783E+73</v>
      </c>
      <c r="AK547">
        <f t="shared" si="188"/>
        <v>167.77935780031569</v>
      </c>
      <c r="AL547" t="str">
        <f t="shared" si="189"/>
        <v/>
      </c>
    </row>
    <row r="548" spans="31:38" x14ac:dyDescent="0.25">
      <c r="AE548" t="s">
        <v>571</v>
      </c>
      <c r="AF548" s="4">
        <f t="shared" si="183"/>
        <v>167.77935780031569</v>
      </c>
      <c r="AG548">
        <f t="shared" si="184"/>
        <v>7.3392092465437922E+72</v>
      </c>
      <c r="AH548">
        <f t="shared" si="185"/>
        <v>7.339216585756689E+72</v>
      </c>
      <c r="AI548">
        <f t="shared" si="186"/>
        <v>7.3392019073382333E+72</v>
      </c>
      <c r="AJ548">
        <f t="shared" si="187"/>
        <v>7.3392092278522058E+72</v>
      </c>
      <c r="AK548">
        <f t="shared" si="188"/>
        <v>166.77935779776888</v>
      </c>
      <c r="AL548" t="str">
        <f t="shared" si="189"/>
        <v/>
      </c>
    </row>
    <row r="549" spans="31:38" x14ac:dyDescent="0.25">
      <c r="AE549" t="s">
        <v>572</v>
      </c>
      <c r="AF549" s="4">
        <f t="shared" si="183"/>
        <v>166.77935779776888</v>
      </c>
      <c r="AG549">
        <f t="shared" si="184"/>
        <v>2.6999441893825606E+72</v>
      </c>
      <c r="AH549">
        <f t="shared" si="185"/>
        <v>2.6999468893280934E+72</v>
      </c>
      <c r="AI549">
        <f t="shared" si="186"/>
        <v>2.6999414894397282E+72</v>
      </c>
      <c r="AJ549">
        <f t="shared" si="187"/>
        <v>2.6999441826020836E+72</v>
      </c>
      <c r="AK549">
        <f t="shared" si="188"/>
        <v>165.77935779525754</v>
      </c>
      <c r="AL549" t="str">
        <f t="shared" si="189"/>
        <v/>
      </c>
    </row>
    <row r="550" spans="31:38" x14ac:dyDescent="0.25">
      <c r="AE550" t="s">
        <v>573</v>
      </c>
      <c r="AF550" s="4">
        <f t="shared" si="183"/>
        <v>165.77935779525754</v>
      </c>
      <c r="AG550">
        <f t="shared" si="184"/>
        <v>9.9325395708973865E+71</v>
      </c>
      <c r="AH550">
        <f t="shared" si="185"/>
        <v>9.9325495034418984E+71</v>
      </c>
      <c r="AI550">
        <f t="shared" si="186"/>
        <v>9.9325296383628063E+71</v>
      </c>
      <c r="AJ550">
        <f t="shared" si="187"/>
        <v>9.9325395460481454E+71</v>
      </c>
      <c r="AK550">
        <f t="shared" si="188"/>
        <v>164.77935779275575</v>
      </c>
      <c r="AL550" t="str">
        <f t="shared" si="189"/>
        <v/>
      </c>
    </row>
    <row r="551" spans="31:38" x14ac:dyDescent="0.25">
      <c r="AE551" t="s">
        <v>574</v>
      </c>
      <c r="AF551" s="4">
        <f t="shared" si="183"/>
        <v>164.77935779275575</v>
      </c>
      <c r="AG551">
        <f t="shared" si="184"/>
        <v>3.6539770976134753E+71</v>
      </c>
      <c r="AH551">
        <f t="shared" si="185"/>
        <v>3.6539807515923904E+71</v>
      </c>
      <c r="AI551">
        <f t="shared" si="186"/>
        <v>3.6539734436382137E+71</v>
      </c>
      <c r="AJ551">
        <f t="shared" si="187"/>
        <v>3.6539770883845586E+71</v>
      </c>
      <c r="AK551">
        <f t="shared" si="188"/>
        <v>163.77935779023002</v>
      </c>
      <c r="AL551" t="str">
        <f t="shared" si="189"/>
        <v/>
      </c>
    </row>
    <row r="552" spans="31:38" x14ac:dyDescent="0.25">
      <c r="AE552" t="s">
        <v>575</v>
      </c>
      <c r="AF552" s="4">
        <f t="shared" si="183"/>
        <v>163.77935779023002</v>
      </c>
      <c r="AG552">
        <f t="shared" si="184"/>
        <v>1.344223049328158E+71</v>
      </c>
      <c r="AH552">
        <f t="shared" si="185"/>
        <v>1.3442243935518761E+71</v>
      </c>
      <c r="AI552">
        <f t="shared" si="186"/>
        <v>1.3442217051057843E+71</v>
      </c>
      <c r="AJ552">
        <f t="shared" si="187"/>
        <v>1.3442230458696787E+71</v>
      </c>
      <c r="AK552">
        <f t="shared" si="188"/>
        <v>162.77935778765718</v>
      </c>
      <c r="AL552" t="str">
        <f t="shared" si="189"/>
        <v/>
      </c>
    </row>
    <row r="553" spans="31:38" x14ac:dyDescent="0.25">
      <c r="AE553" t="s">
        <v>576</v>
      </c>
      <c r="AF553" s="4">
        <f t="shared" si="183"/>
        <v>162.77935778765718</v>
      </c>
      <c r="AG553">
        <f t="shared" si="184"/>
        <v>4.9451202292431128E+70</v>
      </c>
      <c r="AH553">
        <f t="shared" si="185"/>
        <v>4.9451251743658022E+70</v>
      </c>
      <c r="AI553">
        <f t="shared" si="186"/>
        <v>4.9451152841253685E+70</v>
      </c>
      <c r="AJ553">
        <f t="shared" si="187"/>
        <v>4.9451202168804756E+70</v>
      </c>
      <c r="AK553">
        <f t="shared" si="188"/>
        <v>161.7793577851572</v>
      </c>
      <c r="AL553" t="str">
        <f t="shared" si="189"/>
        <v/>
      </c>
    </row>
    <row r="554" spans="31:38" x14ac:dyDescent="0.25">
      <c r="AE554" t="s">
        <v>577</v>
      </c>
      <c r="AF554" s="4">
        <f t="shared" si="183"/>
        <v>161.7793577851572</v>
      </c>
      <c r="AG554">
        <f t="shared" si="184"/>
        <v>1.8192080619115789E+70</v>
      </c>
      <c r="AH554">
        <f t="shared" si="185"/>
        <v>1.8192098811205458E+70</v>
      </c>
      <c r="AI554">
        <f t="shared" si="186"/>
        <v>1.8192062427044313E+70</v>
      </c>
      <c r="AJ554">
        <f t="shared" si="187"/>
        <v>1.8192080572205239E+70</v>
      </c>
      <c r="AK554">
        <f t="shared" si="188"/>
        <v>160.77935778257859</v>
      </c>
      <c r="AL554" t="str">
        <f t="shared" si="189"/>
        <v/>
      </c>
    </row>
    <row r="555" spans="31:38" x14ac:dyDescent="0.25">
      <c r="AE555" t="s">
        <v>578</v>
      </c>
      <c r="AF555" s="4">
        <f t="shared" si="183"/>
        <v>160.77935778257859</v>
      </c>
      <c r="AG555">
        <f t="shared" si="184"/>
        <v>6.6924924346487719E+69</v>
      </c>
      <c r="AH555">
        <f t="shared" si="185"/>
        <v>6.6924991271445358E+69</v>
      </c>
      <c r="AI555">
        <f t="shared" si="186"/>
        <v>6.6924857421597005E+69</v>
      </c>
      <c r="AJ555">
        <f t="shared" si="187"/>
        <v>6.6924924176595333E+69</v>
      </c>
      <c r="AK555">
        <f t="shared" si="188"/>
        <v>159.77935778004004</v>
      </c>
      <c r="AL555" t="str">
        <f t="shared" si="189"/>
        <v/>
      </c>
    </row>
    <row r="556" spans="31:38" x14ac:dyDescent="0.25">
      <c r="AE556" t="s">
        <v>579</v>
      </c>
      <c r="AF556" s="4">
        <f t="shared" si="183"/>
        <v>159.77935778004004</v>
      </c>
      <c r="AG556">
        <f t="shared" si="184"/>
        <v>2.4620303706527289E+69</v>
      </c>
      <c r="AH556">
        <f t="shared" si="185"/>
        <v>2.4620328326843243E+69</v>
      </c>
      <c r="AI556">
        <f t="shared" si="186"/>
        <v>2.4620279086235954E+69</v>
      </c>
      <c r="AJ556">
        <f t="shared" si="187"/>
        <v>2.4620303644509776E+69</v>
      </c>
      <c r="AK556">
        <f t="shared" si="188"/>
        <v>158.77935777752108</v>
      </c>
      <c r="AL556" t="str">
        <f t="shared" si="189"/>
        <v/>
      </c>
    </row>
    <row r="557" spans="31:38" x14ac:dyDescent="0.25">
      <c r="AE557" t="s">
        <v>580</v>
      </c>
      <c r="AF557" s="4">
        <f t="shared" si="183"/>
        <v>158.77935777752108</v>
      </c>
      <c r="AG557">
        <f t="shared" si="184"/>
        <v>9.0573035462134702E+68</v>
      </c>
      <c r="AH557">
        <f t="shared" si="185"/>
        <v>9.0573126035215222E+68</v>
      </c>
      <c r="AI557">
        <f t="shared" si="186"/>
        <v>9.0572944889144752E+68</v>
      </c>
      <c r="AJ557">
        <f t="shared" si="187"/>
        <v>9.0573035235132823E+68</v>
      </c>
      <c r="AK557">
        <f t="shared" si="188"/>
        <v>157.7793577750148</v>
      </c>
      <c r="AL557" t="str">
        <f t="shared" si="189"/>
        <v/>
      </c>
    </row>
    <row r="558" spans="31:38" x14ac:dyDescent="0.25">
      <c r="AE558" t="s">
        <v>581</v>
      </c>
      <c r="AF558" s="4">
        <f t="shared" si="183"/>
        <v>157.7793577750148</v>
      </c>
      <c r="AG558">
        <f t="shared" si="184"/>
        <v>3.3319957587502089E+68</v>
      </c>
      <c r="AH558">
        <f t="shared" si="185"/>
        <v>3.3319990907476252E+68</v>
      </c>
      <c r="AI558">
        <f t="shared" si="186"/>
        <v>3.3319924267561248E+68</v>
      </c>
      <c r="AJ558">
        <f t="shared" si="187"/>
        <v>3.3319957502180596E+68</v>
      </c>
      <c r="AK558">
        <f t="shared" si="188"/>
        <v>156.77935777245412</v>
      </c>
      <c r="AL558" t="str">
        <f t="shared" si="189"/>
        <v/>
      </c>
    </row>
    <row r="559" spans="31:38" x14ac:dyDescent="0.25">
      <c r="AE559" t="s">
        <v>582</v>
      </c>
      <c r="AF559" s="4">
        <f t="shared" si="183"/>
        <v>156.77935777245412</v>
      </c>
      <c r="AG559">
        <f t="shared" si="184"/>
        <v>1.2257727345758283E+68</v>
      </c>
      <c r="AH559">
        <f t="shared" si="185"/>
        <v>1.2257739603491727E+68</v>
      </c>
      <c r="AI559">
        <f t="shared" si="186"/>
        <v>1.2257715088037096E+68</v>
      </c>
      <c r="AJ559">
        <f t="shared" si="187"/>
        <v>1.225772731564908E+68</v>
      </c>
      <c r="AK559">
        <f t="shared" si="188"/>
        <v>155.77935776999777</v>
      </c>
      <c r="AL559" t="str">
        <f t="shared" si="189"/>
        <v/>
      </c>
    </row>
    <row r="560" spans="31:38" x14ac:dyDescent="0.25">
      <c r="AE560" t="s">
        <v>583</v>
      </c>
      <c r="AF560" s="4">
        <f t="shared" si="183"/>
        <v>155.77935776999777</v>
      </c>
      <c r="AG560">
        <f t="shared" si="184"/>
        <v>4.5093658749129001E+67</v>
      </c>
      <c r="AH560">
        <f t="shared" si="185"/>
        <v>4.5093703842810183E+67</v>
      </c>
      <c r="AI560">
        <f t="shared" si="186"/>
        <v>4.5093613655492914E+67</v>
      </c>
      <c r="AJ560">
        <f t="shared" si="187"/>
        <v>4.5093658634785911E+67</v>
      </c>
      <c r="AK560">
        <f t="shared" si="188"/>
        <v>154.7793577674621</v>
      </c>
      <c r="AL560" t="str">
        <f t="shared" si="189"/>
        <v/>
      </c>
    </row>
    <row r="561" spans="31:38" x14ac:dyDescent="0.25">
      <c r="AE561" t="s">
        <v>584</v>
      </c>
      <c r="AF561" s="4">
        <f t="shared" si="183"/>
        <v>154.7793577674621</v>
      </c>
      <c r="AG561">
        <f t="shared" si="184"/>
        <v>1.6589029938940972E+67</v>
      </c>
      <c r="AH561">
        <f t="shared" si="185"/>
        <v>1.6589046527979164E+67</v>
      </c>
      <c r="AI561">
        <f t="shared" si="186"/>
        <v>1.658901334991937E+67</v>
      </c>
      <c r="AJ561">
        <f t="shared" si="187"/>
        <v>1.6589029897237218E+67</v>
      </c>
      <c r="AK561">
        <f t="shared" si="188"/>
        <v>153.77935776494817</v>
      </c>
      <c r="AL561" t="str">
        <f t="shared" si="189"/>
        <v/>
      </c>
    </row>
    <row r="562" spans="31:38" x14ac:dyDescent="0.25">
      <c r="AE562" t="s">
        <v>585</v>
      </c>
      <c r="AF562" s="4">
        <f t="shared" si="183"/>
        <v>153.77935776494817</v>
      </c>
      <c r="AG562">
        <f t="shared" si="184"/>
        <v>6.1027630481720203E+66</v>
      </c>
      <c r="AH562">
        <f t="shared" si="185"/>
        <v>6.1027691509381038E+66</v>
      </c>
      <c r="AI562">
        <f t="shared" si="186"/>
        <v>6.1027569454120383E+66</v>
      </c>
      <c r="AJ562">
        <f t="shared" si="187"/>
        <v>6.1027630327539575E+66</v>
      </c>
      <c r="AK562">
        <f t="shared" si="188"/>
        <v>152.77935776242177</v>
      </c>
      <c r="AL562" t="str">
        <f t="shared" si="189"/>
        <v/>
      </c>
    </row>
    <row r="563" spans="31:38" x14ac:dyDescent="0.25">
      <c r="AE563" t="s">
        <v>586</v>
      </c>
      <c r="AF563" s="4">
        <f t="shared" si="183"/>
        <v>152.77935776242177</v>
      </c>
      <c r="AG563">
        <f t="shared" si="184"/>
        <v>2.245081054091265E+66</v>
      </c>
      <c r="AH563">
        <f t="shared" si="185"/>
        <v>2.2450832991734361E+66</v>
      </c>
      <c r="AI563">
        <f t="shared" si="186"/>
        <v>2.2450788090113389E+66</v>
      </c>
      <c r="AJ563">
        <f t="shared" si="187"/>
        <v>2.2450810486019225E+66</v>
      </c>
      <c r="AK563">
        <f t="shared" si="188"/>
        <v>151.7793577599767</v>
      </c>
      <c r="AL563" t="str">
        <f t="shared" si="189"/>
        <v/>
      </c>
    </row>
    <row r="564" spans="31:38" x14ac:dyDescent="0.25">
      <c r="AE564" t="s">
        <v>587</v>
      </c>
      <c r="AF564" s="4">
        <f t="shared" si="183"/>
        <v>151.7793577599767</v>
      </c>
      <c r="AG564">
        <f t="shared" si="184"/>
        <v>8.2591916154426294E+65</v>
      </c>
      <c r="AH564">
        <f t="shared" si="185"/>
        <v>8.2591998746383544E+65</v>
      </c>
      <c r="AI564">
        <f t="shared" si="186"/>
        <v>8.2591833562551646E+65</v>
      </c>
      <c r="AJ564">
        <f t="shared" si="187"/>
        <v>8.2591915949041914E+65</v>
      </c>
      <c r="AK564">
        <f t="shared" si="188"/>
        <v>150.77935775748998</v>
      </c>
      <c r="AL564" t="str">
        <f t="shared" si="189"/>
        <v/>
      </c>
    </row>
    <row r="565" spans="31:38" x14ac:dyDescent="0.25">
      <c r="AE565" t="s">
        <v>588</v>
      </c>
      <c r="AF565" s="4">
        <f t="shared" si="183"/>
        <v>150.77935775748998</v>
      </c>
      <c r="AG565">
        <f t="shared" si="184"/>
        <v>3.0383867884612518E+65</v>
      </c>
      <c r="AH565">
        <f t="shared" si="185"/>
        <v>3.0383898268495518E+65</v>
      </c>
      <c r="AI565">
        <f t="shared" si="186"/>
        <v>3.0383837500759903E+65</v>
      </c>
      <c r="AJ565">
        <f t="shared" si="187"/>
        <v>3.038386780722226E+65</v>
      </c>
      <c r="AK565">
        <f t="shared" si="188"/>
        <v>149.77935775494288</v>
      </c>
      <c r="AL565" t="str">
        <f t="shared" si="189"/>
        <v/>
      </c>
    </row>
    <row r="566" spans="31:38" x14ac:dyDescent="0.25">
      <c r="AE566" t="s">
        <v>589</v>
      </c>
      <c r="AF566" s="4">
        <f t="shared" si="183"/>
        <v>149.77935775494288</v>
      </c>
      <c r="AG566">
        <f t="shared" si="184"/>
        <v>1.1177600309547758E+65</v>
      </c>
      <c r="AH566">
        <f t="shared" si="185"/>
        <v>1.1177611487153628E+65</v>
      </c>
      <c r="AI566">
        <f t="shared" si="186"/>
        <v>1.1177589131953066E+65</v>
      </c>
      <c r="AJ566">
        <f t="shared" si="187"/>
        <v>1.1177600281159606E+65</v>
      </c>
      <c r="AK566">
        <f t="shared" si="188"/>
        <v>148.77935775240314</v>
      </c>
      <c r="AL566" t="str">
        <f t="shared" si="189"/>
        <v/>
      </c>
    </row>
    <row r="567" spans="31:38" x14ac:dyDescent="0.25">
      <c r="AE567" t="s">
        <v>590</v>
      </c>
      <c r="AF567" s="4">
        <f t="shared" si="183"/>
        <v>148.77935775240314</v>
      </c>
      <c r="AG567">
        <f t="shared" si="184"/>
        <v>4.1120093450707533E+64</v>
      </c>
      <c r="AH567">
        <f t="shared" si="185"/>
        <v>4.1120134570821441E+64</v>
      </c>
      <c r="AI567">
        <f t="shared" si="186"/>
        <v>4.1120052330634746E+64</v>
      </c>
      <c r="AJ567">
        <f t="shared" si="187"/>
        <v>4.1120093347539337E+64</v>
      </c>
      <c r="AK567">
        <f t="shared" si="188"/>
        <v>147.77935774989419</v>
      </c>
      <c r="AL567" t="str">
        <f t="shared" si="189"/>
        <v/>
      </c>
    </row>
    <row r="568" spans="31:38" x14ac:dyDescent="0.25">
      <c r="AE568" t="s">
        <v>591</v>
      </c>
      <c r="AF568" s="4">
        <f t="shared" si="183"/>
        <v>147.77935774989419</v>
      </c>
      <c r="AG568">
        <f t="shared" si="184"/>
        <v>1.512723696161022E+64</v>
      </c>
      <c r="AH568">
        <f t="shared" si="185"/>
        <v>1.5127252088854707E+64</v>
      </c>
      <c r="AI568">
        <f t="shared" si="186"/>
        <v>1.5127221834380859E+64</v>
      </c>
      <c r="AJ568">
        <f t="shared" si="187"/>
        <v>1.5127236924017934E+64</v>
      </c>
      <c r="AK568">
        <f t="shared" si="188"/>
        <v>146.77935774740911</v>
      </c>
      <c r="AL568" t="str">
        <f t="shared" si="189"/>
        <v/>
      </c>
    </row>
    <row r="569" spans="31:38" x14ac:dyDescent="0.25">
      <c r="AE569" t="s">
        <v>592</v>
      </c>
      <c r="AF569" s="4">
        <f t="shared" si="183"/>
        <v>146.77935774740911</v>
      </c>
      <c r="AG569">
        <f t="shared" si="184"/>
        <v>5.5649994660756821E+63</v>
      </c>
      <c r="AH569">
        <f t="shared" si="185"/>
        <v>5.5650050310779167E+63</v>
      </c>
      <c r="AI569">
        <f t="shared" si="186"/>
        <v>5.564993901079013E+63</v>
      </c>
      <c r="AJ569">
        <f t="shared" si="187"/>
        <v>5.5649994518115687E+63</v>
      </c>
      <c r="AK569">
        <f t="shared" si="188"/>
        <v>145.77935774484592</v>
      </c>
      <c r="AL569" t="str">
        <f t="shared" si="189"/>
        <v/>
      </c>
    </row>
    <row r="570" spans="31:38" x14ac:dyDescent="0.25">
      <c r="AE570" t="s">
        <v>593</v>
      </c>
      <c r="AF570" s="4">
        <f t="shared" si="183"/>
        <v>145.77935774484592</v>
      </c>
      <c r="AG570">
        <f t="shared" si="184"/>
        <v>2.0472488884518224E+63</v>
      </c>
      <c r="AH570">
        <f t="shared" si="185"/>
        <v>2.0472509357017292E+63</v>
      </c>
      <c r="AI570">
        <f t="shared" si="186"/>
        <v>2.0472468412039628E+63</v>
      </c>
      <c r="AJ570">
        <f t="shared" si="187"/>
        <v>2.0472488832293608E+63</v>
      </c>
      <c r="AK570">
        <f t="shared" si="188"/>
        <v>144.77935774229496</v>
      </c>
      <c r="AL570" t="str">
        <f t="shared" si="189"/>
        <v/>
      </c>
    </row>
    <row r="571" spans="31:38" x14ac:dyDescent="0.25">
      <c r="AE571" t="s">
        <v>594</v>
      </c>
      <c r="AF571" s="4">
        <f t="shared" si="183"/>
        <v>144.77935774229496</v>
      </c>
      <c r="AG571">
        <f t="shared" si="184"/>
        <v>7.5314077510127933E+62</v>
      </c>
      <c r="AH571">
        <f t="shared" si="185"/>
        <v>7.5314152824242904E+62</v>
      </c>
      <c r="AI571">
        <f t="shared" si="186"/>
        <v>7.5314002196088266E+62</v>
      </c>
      <c r="AJ571">
        <f t="shared" si="187"/>
        <v>7.5314077319317394E+62</v>
      </c>
      <c r="AK571">
        <f t="shared" si="188"/>
        <v>143.77935773976142</v>
      </c>
      <c r="AL571" t="str">
        <f t="shared" si="189"/>
        <v/>
      </c>
    </row>
    <row r="572" spans="31:38" x14ac:dyDescent="0.25">
      <c r="AE572" t="s">
        <v>595</v>
      </c>
      <c r="AF572" s="4">
        <f t="shared" si="183"/>
        <v>143.77935773976142</v>
      </c>
      <c r="AG572">
        <f t="shared" si="184"/>
        <v>2.7706500676573041E+62</v>
      </c>
      <c r="AH572">
        <f t="shared" si="185"/>
        <v>2.7706528383087497E+62</v>
      </c>
      <c r="AI572">
        <f t="shared" si="186"/>
        <v>2.7706472970086284E+62</v>
      </c>
      <c r="AJ572">
        <f t="shared" si="187"/>
        <v>2.7706500606711901E+62</v>
      </c>
      <c r="AK572">
        <f t="shared" si="188"/>
        <v>142.77935773723996</v>
      </c>
      <c r="AL572" t="str">
        <f t="shared" si="189"/>
        <v/>
      </c>
    </row>
    <row r="573" spans="31:38" x14ac:dyDescent="0.25">
      <c r="AE573" t="s">
        <v>596</v>
      </c>
      <c r="AF573" s="4">
        <f t="shared" si="183"/>
        <v>142.77935773723996</v>
      </c>
      <c r="AG573">
        <f t="shared" si="184"/>
        <v>1.019265196001351E+62</v>
      </c>
      <c r="AH573">
        <f t="shared" si="185"/>
        <v>1.019266215267054E+62</v>
      </c>
      <c r="AI573">
        <f t="shared" si="186"/>
        <v>1.0192641767366672E+62</v>
      </c>
      <c r="AJ573">
        <f t="shared" si="187"/>
        <v>1.0192651933920376E+62</v>
      </c>
      <c r="AK573">
        <f t="shared" si="188"/>
        <v>141.77935773467996</v>
      </c>
      <c r="AL573" t="str">
        <f t="shared" si="189"/>
        <v/>
      </c>
    </row>
    <row r="574" spans="31:38" x14ac:dyDescent="0.25">
      <c r="AE574" t="s">
        <v>597</v>
      </c>
      <c r="AF574" s="4">
        <f t="shared" si="183"/>
        <v>141.77935773467996</v>
      </c>
      <c r="AG574">
        <f t="shared" si="184"/>
        <v>3.7496670975056278E+61</v>
      </c>
      <c r="AH574">
        <f t="shared" si="185"/>
        <v>3.7496708471745906E+61</v>
      </c>
      <c r="AI574">
        <f t="shared" si="186"/>
        <v>3.7496633478404148E+61</v>
      </c>
      <c r="AJ574">
        <f t="shared" si="187"/>
        <v>3.749667087897446E+61</v>
      </c>
      <c r="AK574">
        <f t="shared" si="188"/>
        <v>140.77935773211755</v>
      </c>
      <c r="AL574" t="str">
        <f t="shared" si="189"/>
        <v/>
      </c>
    </row>
    <row r="575" spans="31:38" x14ac:dyDescent="0.25">
      <c r="AE575" t="s">
        <v>598</v>
      </c>
      <c r="AF575" s="4">
        <f t="shared" si="183"/>
        <v>140.77935773211755</v>
      </c>
      <c r="AG575">
        <f t="shared" si="184"/>
        <v>1.3794254328746527E+61</v>
      </c>
      <c r="AH575">
        <f t="shared" si="185"/>
        <v>1.3794268123007718E+61</v>
      </c>
      <c r="AI575">
        <f t="shared" si="186"/>
        <v>1.3794240534499128E+61</v>
      </c>
      <c r="AJ575">
        <f t="shared" si="187"/>
        <v>1.3794254294936122E+61</v>
      </c>
      <c r="AK575">
        <f t="shared" si="188"/>
        <v>139.77935772966649</v>
      </c>
      <c r="AL575" t="str">
        <f t="shared" si="189"/>
        <v/>
      </c>
    </row>
    <row r="576" spans="31:38" x14ac:dyDescent="0.25">
      <c r="AE576" t="s">
        <v>599</v>
      </c>
      <c r="AF576" s="4">
        <f t="shared" si="183"/>
        <v>139.77935772966649</v>
      </c>
      <c r="AG576">
        <f t="shared" si="184"/>
        <v>5.0746225613978179E+60</v>
      </c>
      <c r="AH576">
        <f t="shared" si="185"/>
        <v>5.0746276360229039E+60</v>
      </c>
      <c r="AI576">
        <f t="shared" si="186"/>
        <v>5.0746174867778065E+60</v>
      </c>
      <c r="AJ576">
        <f t="shared" si="187"/>
        <v>5.074622548684729E+60</v>
      </c>
      <c r="AK576">
        <f t="shared" si="188"/>
        <v>138.77935772716125</v>
      </c>
      <c r="AL576" t="str">
        <f t="shared" si="189"/>
        <v/>
      </c>
    </row>
    <row r="577" spans="31:38" x14ac:dyDescent="0.25">
      <c r="AE577" t="s">
        <v>600</v>
      </c>
      <c r="AF577" s="4">
        <f t="shared" si="183"/>
        <v>138.77935772716125</v>
      </c>
      <c r="AG577">
        <f t="shared" si="184"/>
        <v>1.8668493073661326E+60</v>
      </c>
      <c r="AH577">
        <f t="shared" si="185"/>
        <v>1.8668511742163687E+60</v>
      </c>
      <c r="AI577">
        <f t="shared" si="186"/>
        <v>1.8668474405177633E+60</v>
      </c>
      <c r="AJ577">
        <f t="shared" si="187"/>
        <v>1.8668493027004527E+60</v>
      </c>
      <c r="AK577">
        <f t="shared" si="188"/>
        <v>137.77935772466202</v>
      </c>
      <c r="AL577" t="str">
        <f t="shared" si="189"/>
        <v/>
      </c>
    </row>
    <row r="578" spans="31:38" x14ac:dyDescent="0.25">
      <c r="AE578" t="s">
        <v>601</v>
      </c>
      <c r="AF578" s="4">
        <f t="shared" si="183"/>
        <v>137.77935772466202</v>
      </c>
      <c r="AG578">
        <f t="shared" si="184"/>
        <v>6.8677547822873397E+59</v>
      </c>
      <c r="AH578">
        <f t="shared" si="185"/>
        <v>6.8677616500455386E+59</v>
      </c>
      <c r="AI578">
        <f t="shared" si="186"/>
        <v>6.8677479145360085E+59</v>
      </c>
      <c r="AJ578">
        <f t="shared" si="187"/>
        <v>6.8677547650507066E+59</v>
      </c>
      <c r="AK578">
        <f t="shared" si="188"/>
        <v>136.77935772215224</v>
      </c>
      <c r="AL578" t="str">
        <f t="shared" si="189"/>
        <v/>
      </c>
    </row>
    <row r="579" spans="31:38" x14ac:dyDescent="0.25">
      <c r="AE579" t="s">
        <v>602</v>
      </c>
      <c r="AF579" s="4">
        <f t="shared" si="183"/>
        <v>136.77935772215224</v>
      </c>
      <c r="AG579">
        <f t="shared" si="184"/>
        <v>2.5265057850693958E+59</v>
      </c>
      <c r="AH579">
        <f t="shared" si="185"/>
        <v>2.5265083115764378E+59</v>
      </c>
      <c r="AI579">
        <f t="shared" si="186"/>
        <v>2.5265032585648804E+59</v>
      </c>
      <c r="AJ579">
        <f t="shared" si="187"/>
        <v>2.5265057787088588E+59</v>
      </c>
      <c r="AK579">
        <f t="shared" si="188"/>
        <v>135.77935771963473</v>
      </c>
      <c r="AL579" t="str">
        <f t="shared" si="189"/>
        <v/>
      </c>
    </row>
    <row r="580" spans="31:38" x14ac:dyDescent="0.25">
      <c r="AE580" t="s">
        <v>603</v>
      </c>
      <c r="AF580" s="4">
        <f t="shared" si="183"/>
        <v>135.77935771963473</v>
      </c>
      <c r="AG580">
        <f t="shared" si="184"/>
        <v>9.2944953398784723E+58</v>
      </c>
      <c r="AH580">
        <f t="shared" si="185"/>
        <v>9.2945046343784354E+58</v>
      </c>
      <c r="AI580">
        <f t="shared" si="186"/>
        <v>9.294486045387803E+58</v>
      </c>
      <c r="AJ580">
        <f t="shared" si="187"/>
        <v>9.2944953162114072E+58</v>
      </c>
      <c r="AK580">
        <f t="shared" si="188"/>
        <v>134.77935771708837</v>
      </c>
      <c r="AL580" t="str">
        <f t="shared" si="189"/>
        <v/>
      </c>
    </row>
    <row r="581" spans="31:38" x14ac:dyDescent="0.25">
      <c r="AE581" t="s">
        <v>604</v>
      </c>
      <c r="AF581" s="4">
        <f t="shared" si="183"/>
        <v>134.77935771708837</v>
      </c>
      <c r="AG581">
        <f t="shared" si="184"/>
        <v>3.4192537428984241E+58</v>
      </c>
      <c r="AH581">
        <f t="shared" si="185"/>
        <v>3.4192571621538677E+58</v>
      </c>
      <c r="AI581">
        <f t="shared" si="186"/>
        <v>3.4192503236463991E+58</v>
      </c>
      <c r="AJ581">
        <f t="shared" si="187"/>
        <v>3.419253734314104E+58</v>
      </c>
      <c r="AK581">
        <f t="shared" si="188"/>
        <v>133.7793577145778</v>
      </c>
      <c r="AL581" t="str">
        <f t="shared" si="189"/>
        <v/>
      </c>
    </row>
    <row r="582" spans="31:38" x14ac:dyDescent="0.25">
      <c r="AE582" t="s">
        <v>605</v>
      </c>
      <c r="AF582" s="4">
        <f t="shared" si="183"/>
        <v>133.7793577145778</v>
      </c>
      <c r="AG582">
        <f t="shared" si="184"/>
        <v>1.25787315300285E+58</v>
      </c>
      <c r="AH582">
        <f t="shared" si="185"/>
        <v>1.2578744108766288E+58</v>
      </c>
      <c r="AI582">
        <f t="shared" si="186"/>
        <v>1.257871895130329E+58</v>
      </c>
      <c r="AJ582">
        <f t="shared" si="187"/>
        <v>1.257873149907821E+58</v>
      </c>
      <c r="AK582">
        <f t="shared" si="188"/>
        <v>132.77935771211727</v>
      </c>
      <c r="AL582" t="str">
        <f t="shared" si="189"/>
        <v/>
      </c>
    </row>
    <row r="583" spans="31:38" x14ac:dyDescent="0.25">
      <c r="AE583" t="s">
        <v>606</v>
      </c>
      <c r="AF583" s="4">
        <f t="shared" si="183"/>
        <v>132.77935771211727</v>
      </c>
      <c r="AG583">
        <f t="shared" si="184"/>
        <v>4.6274567145265167E+57</v>
      </c>
      <c r="AH583">
        <f t="shared" si="185"/>
        <v>4.6274613419855334E+57</v>
      </c>
      <c r="AI583">
        <f t="shared" si="186"/>
        <v>4.6274520870721274E+57</v>
      </c>
      <c r="AJ583">
        <f t="shared" si="187"/>
        <v>4.6274567030258377E+57</v>
      </c>
      <c r="AK583">
        <f t="shared" si="188"/>
        <v>131.77935770963197</v>
      </c>
      <c r="AL583" t="str">
        <f t="shared" si="189"/>
        <v/>
      </c>
    </row>
    <row r="584" spans="31:38" x14ac:dyDescent="0.25">
      <c r="AE584" t="s">
        <v>607</v>
      </c>
      <c r="AF584" s="4">
        <f t="shared" si="183"/>
        <v>131.77935770963197</v>
      </c>
      <c r="AG584">
        <f t="shared" si="184"/>
        <v>1.7023461859541991E+57</v>
      </c>
      <c r="AH584">
        <f t="shared" si="185"/>
        <v>1.7023478883012318E+57</v>
      </c>
      <c r="AI584">
        <f t="shared" si="186"/>
        <v>1.7023444836088685E+57</v>
      </c>
      <c r="AJ584">
        <f t="shared" si="187"/>
        <v>1.7023461816446689E+57</v>
      </c>
      <c r="AK584">
        <f t="shared" si="188"/>
        <v>130.77935770710044</v>
      </c>
      <c r="AL584" t="str">
        <f t="shared" si="189"/>
        <v/>
      </c>
    </row>
    <row r="585" spans="31:38" x14ac:dyDescent="0.25">
      <c r="AE585" t="s">
        <v>608</v>
      </c>
      <c r="AF585" s="4">
        <f t="shared" si="183"/>
        <v>130.77935770710044</v>
      </c>
      <c r="AG585">
        <f t="shared" si="184"/>
        <v>6.2625816198378085E+56</v>
      </c>
      <c r="AH585">
        <f t="shared" si="185"/>
        <v>6.2625878824225438E+56</v>
      </c>
      <c r="AI585">
        <f t="shared" si="186"/>
        <v>6.2625753572593357E+56</v>
      </c>
      <c r="AJ585">
        <f t="shared" si="187"/>
        <v>6.262581604073518E+56</v>
      </c>
      <c r="AK585">
        <f t="shared" si="188"/>
        <v>129.77935770458322</v>
      </c>
      <c r="AL585" t="str">
        <f t="shared" si="189"/>
        <v/>
      </c>
    </row>
    <row r="586" spans="31:38" x14ac:dyDescent="0.25">
      <c r="AE586" t="s">
        <v>609</v>
      </c>
      <c r="AF586" s="4">
        <f t="shared" si="183"/>
        <v>129.77935770458322</v>
      </c>
      <c r="AG586">
        <f t="shared" si="184"/>
        <v>2.3038750207971061E+56</v>
      </c>
      <c r="AH586">
        <f t="shared" si="185"/>
        <v>2.3038773246732726E+56</v>
      </c>
      <c r="AI586">
        <f t="shared" si="186"/>
        <v>2.3038727169232428E+56</v>
      </c>
      <c r="AJ586">
        <f t="shared" si="187"/>
        <v>2.303875014907177E+56</v>
      </c>
      <c r="AK586">
        <f t="shared" si="188"/>
        <v>128.77935770202669</v>
      </c>
      <c r="AL586" t="str">
        <f t="shared" si="189"/>
        <v/>
      </c>
    </row>
    <row r="587" spans="31:38" x14ac:dyDescent="0.25">
      <c r="AE587" t="s">
        <v>610</v>
      </c>
      <c r="AF587" s="4">
        <f t="shared" si="183"/>
        <v>128.77935770202669</v>
      </c>
      <c r="AG587">
        <f t="shared" si="184"/>
        <v>8.4754825301289955E+55</v>
      </c>
      <c r="AH587">
        <f t="shared" si="185"/>
        <v>8.4754910056157415E+55</v>
      </c>
      <c r="AI587">
        <f t="shared" si="186"/>
        <v>8.4754740546507244E+55</v>
      </c>
      <c r="AJ587">
        <f t="shared" si="187"/>
        <v>8.4754825085384006E+55</v>
      </c>
      <c r="AK587">
        <f t="shared" si="188"/>
        <v>127.77935769947926</v>
      </c>
      <c r="AL587" t="str">
        <f t="shared" si="189"/>
        <v/>
      </c>
    </row>
    <row r="588" spans="31:38" x14ac:dyDescent="0.25">
      <c r="AE588" t="s">
        <v>611</v>
      </c>
      <c r="AF588" s="4">
        <f t="shared" si="183"/>
        <v>127.77935769947926</v>
      </c>
      <c r="AG588">
        <f t="shared" si="184"/>
        <v>3.1179557688994225E+55</v>
      </c>
      <c r="AH588">
        <f t="shared" si="185"/>
        <v>3.1179588868567427E+55</v>
      </c>
      <c r="AI588">
        <f t="shared" si="186"/>
        <v>3.1179526509452204E+55</v>
      </c>
      <c r="AJ588">
        <f t="shared" si="187"/>
        <v>3.1179557611622242E+55</v>
      </c>
      <c r="AK588">
        <f t="shared" si="188"/>
        <v>126.77935769699776</v>
      </c>
      <c r="AL588" t="str">
        <f t="shared" si="189"/>
        <v/>
      </c>
    </row>
    <row r="589" spans="31:38" x14ac:dyDescent="0.25">
      <c r="AE589" t="s">
        <v>612</v>
      </c>
      <c r="AF589" s="4">
        <f t="shared" si="183"/>
        <v>126.77935769699776</v>
      </c>
      <c r="AG589">
        <f t="shared" si="184"/>
        <v>1.1470318230136355E+55</v>
      </c>
      <c r="AH589">
        <f t="shared" si="185"/>
        <v>1.1470329700460292E+55</v>
      </c>
      <c r="AI589">
        <f t="shared" si="186"/>
        <v>1.1470306759823889E+55</v>
      </c>
      <c r="AJ589">
        <f t="shared" si="187"/>
        <v>1.1470318201502288E+55</v>
      </c>
      <c r="AK589">
        <f t="shared" si="188"/>
        <v>125.7793576945014</v>
      </c>
      <c r="AL589" t="str">
        <f t="shared" si="189"/>
        <v/>
      </c>
    </row>
    <row r="590" spans="31:38" x14ac:dyDescent="0.25">
      <c r="AE590" t="s">
        <v>613</v>
      </c>
      <c r="AF590" s="4">
        <f t="shared" si="183"/>
        <v>125.7793576945014</v>
      </c>
      <c r="AG590">
        <f t="shared" si="184"/>
        <v>4.2196942500272766E+54</v>
      </c>
      <c r="AH590">
        <f t="shared" si="185"/>
        <v>4.2196984697236259E+54</v>
      </c>
      <c r="AI590">
        <f t="shared" si="186"/>
        <v>4.2196900303351474E+54</v>
      </c>
      <c r="AJ590">
        <f t="shared" si="187"/>
        <v>4.2196942392196084E+54</v>
      </c>
      <c r="AK590">
        <f t="shared" si="188"/>
        <v>124.77935769194015</v>
      </c>
      <c r="AL590" t="str">
        <f t="shared" si="189"/>
        <v/>
      </c>
    </row>
    <row r="591" spans="31:38" x14ac:dyDescent="0.25">
      <c r="AE591" t="s">
        <v>614</v>
      </c>
      <c r="AF591" s="4">
        <f t="shared" si="183"/>
        <v>124.77935769194015</v>
      </c>
      <c r="AG591">
        <f t="shared" si="184"/>
        <v>1.5523387586384541E+54</v>
      </c>
      <c r="AH591">
        <f t="shared" si="185"/>
        <v>1.552340310977985E+54</v>
      </c>
      <c r="AI591">
        <f t="shared" si="186"/>
        <v>1.5523372063004755E+54</v>
      </c>
      <c r="AJ591">
        <f t="shared" si="187"/>
        <v>1.5523387547745604E+54</v>
      </c>
      <c r="AK591">
        <f t="shared" si="188"/>
        <v>123.77935768945107</v>
      </c>
      <c r="AL591" t="str">
        <f t="shared" si="189"/>
        <v/>
      </c>
    </row>
    <row r="592" spans="31:38" x14ac:dyDescent="0.25">
      <c r="AE592" t="s">
        <v>615</v>
      </c>
      <c r="AF592" s="4">
        <f t="shared" ref="AF592:AF655" si="190">AK591</f>
        <v>123.77935768945107</v>
      </c>
      <c r="AG592">
        <f t="shared" ref="AG592:AG655" si="191">EXP(AF592)-ATAN(AF592)-1.5</f>
        <v>5.7107351361524084E+53</v>
      </c>
      <c r="AH592">
        <f t="shared" ref="AH592:AH655" si="192">EXP(AF592+E$6)-ATAN(AF592+E$6)-1.5</f>
        <v>5.7107408468903854E+53</v>
      </c>
      <c r="AI592">
        <f t="shared" ref="AI592:AI655" si="193">EXP(AF592-E$6)-ATAN(AF592-E$6)-1.5</f>
        <v>5.7107294254201422E+53</v>
      </c>
      <c r="AJ592">
        <f t="shared" ref="AJ592:AJ655" si="194">(AH592-AI592)/(E$6*2)</f>
        <v>5.7107351216142671E+53</v>
      </c>
      <c r="AK592">
        <f t="shared" ref="AK592:AK655" si="195">AF592-AG592/AJ592</f>
        <v>122.77935768690531</v>
      </c>
      <c r="AL592" t="str">
        <f t="shared" ref="AL592:AL655" si="196">IF(AF593=AF592,"STOP","")</f>
        <v/>
      </c>
    </row>
    <row r="593" spans="31:38" x14ac:dyDescent="0.25">
      <c r="AE593" t="s">
        <v>616</v>
      </c>
      <c r="AF593" s="4">
        <f t="shared" si="190"/>
        <v>122.77935768690531</v>
      </c>
      <c r="AG593">
        <f t="shared" si="191"/>
        <v>2.1008620452175762E+53</v>
      </c>
      <c r="AH593">
        <f t="shared" si="192"/>
        <v>2.1008641460806665E+53</v>
      </c>
      <c r="AI593">
        <f t="shared" si="193"/>
        <v>2.1008599443565868E+53</v>
      </c>
      <c r="AJ593">
        <f t="shared" si="194"/>
        <v>2.1008620398919717E+53</v>
      </c>
      <c r="AK593">
        <f t="shared" si="195"/>
        <v>121.77935768437035</v>
      </c>
      <c r="AL593" t="str">
        <f t="shared" si="196"/>
        <v/>
      </c>
    </row>
    <row r="594" spans="31:38" x14ac:dyDescent="0.25">
      <c r="AE594" t="s">
        <v>617</v>
      </c>
      <c r="AF594" s="4">
        <f t="shared" si="190"/>
        <v>121.77935768437035</v>
      </c>
      <c r="AG594">
        <f t="shared" si="191"/>
        <v>7.7286395321375556E+52</v>
      </c>
      <c r="AH594">
        <f t="shared" si="192"/>
        <v>7.7286472607809322E+52</v>
      </c>
      <c r="AI594">
        <f t="shared" si="193"/>
        <v>7.7286318035019076E+52</v>
      </c>
      <c r="AJ594">
        <f t="shared" si="194"/>
        <v>7.7286395122995158E+52</v>
      </c>
      <c r="AK594">
        <f t="shared" si="195"/>
        <v>120.77935768180353</v>
      </c>
      <c r="AL594" t="str">
        <f t="shared" si="196"/>
        <v/>
      </c>
    </row>
    <row r="595" spans="31:38" x14ac:dyDescent="0.25">
      <c r="AE595" t="s">
        <v>618</v>
      </c>
      <c r="AF595" s="4">
        <f t="shared" si="190"/>
        <v>120.77935768180353</v>
      </c>
      <c r="AG595">
        <f t="shared" si="191"/>
        <v>2.8432075848002755E+52</v>
      </c>
      <c r="AH595">
        <f t="shared" si="192"/>
        <v>2.8432104280092742E+52</v>
      </c>
      <c r="AI595">
        <f t="shared" si="193"/>
        <v>2.8432047415941191E+52</v>
      </c>
      <c r="AJ595">
        <f t="shared" si="194"/>
        <v>2.8432075775498759E+52</v>
      </c>
      <c r="AK595">
        <f t="shared" si="195"/>
        <v>119.77935767925345</v>
      </c>
      <c r="AL595" t="str">
        <f t="shared" si="196"/>
        <v/>
      </c>
    </row>
    <row r="596" spans="31:38" x14ac:dyDescent="0.25">
      <c r="AE596" t="s">
        <v>619</v>
      </c>
      <c r="AF596" s="4">
        <f t="shared" si="190"/>
        <v>119.77935767925345</v>
      </c>
      <c r="AG596">
        <f t="shared" si="191"/>
        <v>1.0459576147634548E+52</v>
      </c>
      <c r="AH596">
        <f t="shared" si="192"/>
        <v>1.0459586607215898E+52</v>
      </c>
      <c r="AI596">
        <f t="shared" si="193"/>
        <v>1.0459565688063657E+52</v>
      </c>
      <c r="AJ596">
        <f t="shared" si="194"/>
        <v>1.0459576120962828E+52</v>
      </c>
      <c r="AK596">
        <f t="shared" si="195"/>
        <v>118.77935767670347</v>
      </c>
      <c r="AL596" t="str">
        <f t="shared" si="196"/>
        <v/>
      </c>
    </row>
    <row r="597" spans="31:38" x14ac:dyDescent="0.25">
      <c r="AE597" t="s">
        <v>620</v>
      </c>
      <c r="AF597" s="4">
        <f t="shared" si="190"/>
        <v>118.77935767670347</v>
      </c>
      <c r="AG597">
        <f t="shared" si="191"/>
        <v>3.8478630182699653E+51</v>
      </c>
      <c r="AH597">
        <f t="shared" si="192"/>
        <v>3.8478668661348975E+51</v>
      </c>
      <c r="AI597">
        <f t="shared" si="193"/>
        <v>3.8478591704088804E+51</v>
      </c>
      <c r="AJ597">
        <f t="shared" si="194"/>
        <v>3.8478630085570597E+51</v>
      </c>
      <c r="AK597">
        <f t="shared" si="195"/>
        <v>117.77935767417924</v>
      </c>
      <c r="AL597" t="str">
        <f t="shared" si="196"/>
        <v/>
      </c>
    </row>
    <row r="598" spans="31:38" x14ac:dyDescent="0.25">
      <c r="AE598" t="s">
        <v>621</v>
      </c>
      <c r="AF598" s="4">
        <f t="shared" si="190"/>
        <v>117.77935767417924</v>
      </c>
      <c r="AG598">
        <f t="shared" si="191"/>
        <v>1.415549693292239E+51</v>
      </c>
      <c r="AH598">
        <f t="shared" si="192"/>
        <v>1.4155511088426366E+51</v>
      </c>
      <c r="AI598">
        <f t="shared" si="193"/>
        <v>1.4155482777432571E+51</v>
      </c>
      <c r="AJ598">
        <f t="shared" si="194"/>
        <v>1.4155496897200994E+51</v>
      </c>
      <c r="AK598">
        <f t="shared" si="195"/>
        <v>116.77935767165573</v>
      </c>
      <c r="AL598" t="str">
        <f t="shared" si="196"/>
        <v/>
      </c>
    </row>
    <row r="599" spans="31:38" x14ac:dyDescent="0.25">
      <c r="AE599" t="s">
        <v>622</v>
      </c>
      <c r="AF599" s="4">
        <f t="shared" si="190"/>
        <v>116.77935767165573</v>
      </c>
      <c r="AG599">
        <f t="shared" si="191"/>
        <v>5.2075162880463522E+50</v>
      </c>
      <c r="AH599">
        <f t="shared" si="192"/>
        <v>5.2075214955652307E+50</v>
      </c>
      <c r="AI599">
        <f t="shared" si="193"/>
        <v>5.207511080532681E+50</v>
      </c>
      <c r="AJ599">
        <f t="shared" si="194"/>
        <v>5.2075162748409207E+50</v>
      </c>
      <c r="AK599">
        <f t="shared" si="195"/>
        <v>115.77935766911989</v>
      </c>
      <c r="AL599" t="str">
        <f t="shared" si="196"/>
        <v/>
      </c>
    </row>
    <row r="600" spans="31:38" x14ac:dyDescent="0.25">
      <c r="AE600" t="s">
        <v>623</v>
      </c>
      <c r="AF600" s="4">
        <f t="shared" si="190"/>
        <v>115.77935766911989</v>
      </c>
      <c r="AG600">
        <f t="shared" si="191"/>
        <v>1.9157381770796668E+50</v>
      </c>
      <c r="AH600">
        <f t="shared" si="192"/>
        <v>1.9157400928187971E+50</v>
      </c>
      <c r="AI600">
        <f t="shared" si="193"/>
        <v>1.9157362613424526E+50</v>
      </c>
      <c r="AJ600">
        <f t="shared" si="194"/>
        <v>1.9157381722801427E+50</v>
      </c>
      <c r="AK600">
        <f t="shared" si="195"/>
        <v>114.77935766661457</v>
      </c>
      <c r="AL600" t="str">
        <f t="shared" si="196"/>
        <v/>
      </c>
    </row>
    <row r="601" spans="31:38" x14ac:dyDescent="0.25">
      <c r="AE601" t="s">
        <v>624</v>
      </c>
      <c r="AF601" s="4">
        <f t="shared" si="190"/>
        <v>114.77935766661457</v>
      </c>
      <c r="AG601">
        <f t="shared" si="191"/>
        <v>7.047606882492166E+49</v>
      </c>
      <c r="AH601">
        <f t="shared" si="192"/>
        <v>7.0476139301025548E+49</v>
      </c>
      <c r="AI601">
        <f t="shared" si="193"/>
        <v>7.0475998348888254E+49</v>
      </c>
      <c r="AJ601">
        <f t="shared" si="194"/>
        <v>7.0476068647027142E+49</v>
      </c>
      <c r="AK601">
        <f t="shared" si="195"/>
        <v>113.77935766409038</v>
      </c>
      <c r="AL601" t="str">
        <f t="shared" si="196"/>
        <v/>
      </c>
    </row>
    <row r="602" spans="31:38" x14ac:dyDescent="0.25">
      <c r="AE602" t="s">
        <v>625</v>
      </c>
      <c r="AF602" s="4">
        <f t="shared" si="190"/>
        <v>113.77935766409038</v>
      </c>
      <c r="AG602">
        <f t="shared" si="191"/>
        <v>2.5926696749828411E+49</v>
      </c>
      <c r="AH602">
        <f t="shared" si="192"/>
        <v>2.5926722676538059E+49</v>
      </c>
      <c r="AI602">
        <f t="shared" si="193"/>
        <v>2.5926670823144688E+49</v>
      </c>
      <c r="AJ602">
        <f t="shared" si="194"/>
        <v>2.5926696685162632E+49</v>
      </c>
      <c r="AK602">
        <f t="shared" si="195"/>
        <v>112.77935766159621</v>
      </c>
      <c r="AL602" t="str">
        <f t="shared" si="196"/>
        <v/>
      </c>
    </row>
    <row r="603" spans="31:38" x14ac:dyDescent="0.25">
      <c r="AE603" t="s">
        <v>626</v>
      </c>
      <c r="AF603" s="4">
        <f t="shared" si="190"/>
        <v>112.77935766159621</v>
      </c>
      <c r="AG603">
        <f t="shared" si="191"/>
        <v>9.5378986879591315E+48</v>
      </c>
      <c r="AH603">
        <f t="shared" si="192"/>
        <v>9.5379082258625641E+48</v>
      </c>
      <c r="AI603">
        <f t="shared" si="193"/>
        <v>9.5378891500652372E+48</v>
      </c>
      <c r="AJ603">
        <f t="shared" si="194"/>
        <v>9.5378986634659146E+48</v>
      </c>
      <c r="AK603">
        <f t="shared" si="195"/>
        <v>111.77935765902822</v>
      </c>
      <c r="AL603" t="str">
        <f t="shared" si="196"/>
        <v/>
      </c>
    </row>
    <row r="604" spans="31:38" x14ac:dyDescent="0.25">
      <c r="AE604" t="s">
        <v>627</v>
      </c>
      <c r="AF604" s="4">
        <f t="shared" si="190"/>
        <v>111.77935765902822</v>
      </c>
      <c r="AG604">
        <f t="shared" si="191"/>
        <v>3.5087968302656947E+48</v>
      </c>
      <c r="AH604">
        <f t="shared" si="192"/>
        <v>3.5088003390642706E+48</v>
      </c>
      <c r="AI604">
        <f t="shared" si="193"/>
        <v>3.5087933214706274E+48</v>
      </c>
      <c r="AJ604">
        <f t="shared" si="194"/>
        <v>3.5087968216050895E+48</v>
      </c>
      <c r="AK604">
        <f t="shared" si="195"/>
        <v>110.77935765655997</v>
      </c>
      <c r="AL604" t="str">
        <f t="shared" si="196"/>
        <v/>
      </c>
    </row>
    <row r="605" spans="31:38" x14ac:dyDescent="0.25">
      <c r="AE605" t="s">
        <v>628</v>
      </c>
      <c r="AF605" s="4">
        <f t="shared" si="190"/>
        <v>110.77935765655997</v>
      </c>
      <c r="AG605">
        <f t="shared" si="191"/>
        <v>1.2908142139162133E+48</v>
      </c>
      <c r="AH605">
        <f t="shared" si="192"/>
        <v>1.2908155047310694E+48</v>
      </c>
      <c r="AI605">
        <f t="shared" si="193"/>
        <v>1.2908129231026481E+48</v>
      </c>
      <c r="AJ605">
        <f t="shared" si="194"/>
        <v>1.290814210653163E+48</v>
      </c>
      <c r="AK605">
        <f t="shared" si="195"/>
        <v>109.77935765403207</v>
      </c>
      <c r="AL605" t="str">
        <f t="shared" si="196"/>
        <v/>
      </c>
    </row>
    <row r="606" spans="31:38" x14ac:dyDescent="0.25">
      <c r="AE606" t="s">
        <v>629</v>
      </c>
      <c r="AF606" s="4">
        <f t="shared" si="190"/>
        <v>109.77935765403207</v>
      </c>
      <c r="AG606">
        <f t="shared" si="191"/>
        <v>4.7486401047124347E+47</v>
      </c>
      <c r="AH606">
        <f t="shared" si="192"/>
        <v>4.7486448533549014E+47</v>
      </c>
      <c r="AI606">
        <f t="shared" si="193"/>
        <v>4.7486353560747157E+47</v>
      </c>
      <c r="AJ606">
        <f t="shared" si="194"/>
        <v>4.7486400928824005E+47</v>
      </c>
      <c r="AK606">
        <f t="shared" si="195"/>
        <v>108.77935765154082</v>
      </c>
      <c r="AL606" t="str">
        <f t="shared" si="196"/>
        <v/>
      </c>
    </row>
    <row r="607" spans="31:38" x14ac:dyDescent="0.25">
      <c r="AE607" t="s">
        <v>630</v>
      </c>
      <c r="AF607" s="4">
        <f t="shared" si="190"/>
        <v>108.77935765154082</v>
      </c>
      <c r="AG607">
        <f t="shared" si="191"/>
        <v>1.7469270636938809E+47</v>
      </c>
      <c r="AH607">
        <f t="shared" si="192"/>
        <v>1.7469288106218137E+47</v>
      </c>
      <c r="AI607">
        <f t="shared" si="193"/>
        <v>1.7469253167676953E+47</v>
      </c>
      <c r="AJ607">
        <f t="shared" si="194"/>
        <v>1.7469270592055877E+47</v>
      </c>
      <c r="AK607">
        <f t="shared" si="195"/>
        <v>107.77935764897157</v>
      </c>
      <c r="AL607" t="str">
        <f t="shared" si="196"/>
        <v/>
      </c>
    </row>
    <row r="608" spans="31:38" x14ac:dyDescent="0.25">
      <c r="AE608" t="s">
        <v>631</v>
      </c>
      <c r="AF608" s="4">
        <f t="shared" si="190"/>
        <v>107.77935764897157</v>
      </c>
      <c r="AG608">
        <f t="shared" si="191"/>
        <v>6.4265855030782218E+46</v>
      </c>
      <c r="AH608">
        <f t="shared" si="192"/>
        <v>6.4265919296669216E+46</v>
      </c>
      <c r="AI608">
        <f t="shared" si="193"/>
        <v>6.4265790764959475E+46</v>
      </c>
      <c r="AJ608">
        <f t="shared" si="194"/>
        <v>6.4265854870569974E+46</v>
      </c>
      <c r="AK608">
        <f t="shared" si="195"/>
        <v>106.77935764647862</v>
      </c>
      <c r="AL608" t="str">
        <f t="shared" si="196"/>
        <v/>
      </c>
    </row>
    <row r="609" spans="31:38" x14ac:dyDescent="0.25">
      <c r="AE609" t="s">
        <v>632</v>
      </c>
      <c r="AF609" s="4">
        <f t="shared" si="190"/>
        <v>106.77935764647862</v>
      </c>
      <c r="AG609">
        <f t="shared" si="191"/>
        <v>2.3642086776190466E+46</v>
      </c>
      <c r="AH609">
        <f t="shared" si="192"/>
        <v>2.3642110418289002E+46</v>
      </c>
      <c r="AI609">
        <f t="shared" si="193"/>
        <v>2.364206313411557E+46</v>
      </c>
      <c r="AJ609">
        <f t="shared" si="194"/>
        <v>2.3642086715876508E+46</v>
      </c>
      <c r="AK609">
        <f t="shared" si="195"/>
        <v>105.77935764392748</v>
      </c>
      <c r="AL609" t="str">
        <f t="shared" si="196"/>
        <v/>
      </c>
    </row>
    <row r="610" spans="31:38" x14ac:dyDescent="0.25">
      <c r="AE610" t="s">
        <v>633</v>
      </c>
      <c r="AF610" s="4">
        <f t="shared" si="190"/>
        <v>105.77935764392748</v>
      </c>
      <c r="AG610">
        <f t="shared" si="191"/>
        <v>8.6974376491633777E+45</v>
      </c>
      <c r="AH610">
        <f t="shared" si="192"/>
        <v>8.6974463466053533E+45</v>
      </c>
      <c r="AI610">
        <f t="shared" si="193"/>
        <v>8.6974289517300994E+45</v>
      </c>
      <c r="AJ610">
        <f t="shared" si="194"/>
        <v>8.6974376269511843E+45</v>
      </c>
      <c r="AK610">
        <f t="shared" si="195"/>
        <v>104.77935764137361</v>
      </c>
      <c r="AL610" t="str">
        <f t="shared" si="196"/>
        <v/>
      </c>
    </row>
    <row r="611" spans="31:38" x14ac:dyDescent="0.25">
      <c r="AE611" t="s">
        <v>634</v>
      </c>
      <c r="AF611" s="4">
        <f t="shared" si="190"/>
        <v>104.77935764137361</v>
      </c>
      <c r="AG611">
        <f t="shared" si="191"/>
        <v>3.1996084938262852E+45</v>
      </c>
      <c r="AH611">
        <f t="shared" si="192"/>
        <v>3.1996116934363708E+45</v>
      </c>
      <c r="AI611">
        <f t="shared" si="193"/>
        <v>3.1996052942193991E+45</v>
      </c>
      <c r="AJ611">
        <f t="shared" si="194"/>
        <v>3.1996084858494144E+45</v>
      </c>
      <c r="AK611">
        <f t="shared" si="195"/>
        <v>103.77935763888053</v>
      </c>
      <c r="AL611" t="str">
        <f t="shared" si="196"/>
        <v/>
      </c>
    </row>
    <row r="612" spans="31:38" x14ac:dyDescent="0.25">
      <c r="AE612" t="s">
        <v>635</v>
      </c>
      <c r="AF612" s="4">
        <f t="shared" si="190"/>
        <v>103.77935763888053</v>
      </c>
      <c r="AG612">
        <f t="shared" si="191"/>
        <v>1.1770701817416825E+45</v>
      </c>
      <c r="AH612">
        <f t="shared" si="192"/>
        <v>1.1770713588124497E+45</v>
      </c>
      <c r="AI612">
        <f t="shared" si="193"/>
        <v>1.1770690046720922E+45</v>
      </c>
      <c r="AJ612">
        <f t="shared" si="194"/>
        <v>1.1770701787913467E+45</v>
      </c>
      <c r="AK612">
        <f t="shared" si="195"/>
        <v>102.77935763637402</v>
      </c>
      <c r="AL612" t="str">
        <f t="shared" si="196"/>
        <v/>
      </c>
    </row>
    <row r="613" spans="31:38" x14ac:dyDescent="0.25">
      <c r="AE613" t="s">
        <v>636</v>
      </c>
      <c r="AF613" s="4">
        <f t="shared" si="190"/>
        <v>102.77935763637402</v>
      </c>
      <c r="AG613">
        <f t="shared" si="191"/>
        <v>4.3301991959332914E+44</v>
      </c>
      <c r="AH613">
        <f t="shared" si="192"/>
        <v>4.3302035261346416E+44</v>
      </c>
      <c r="AI613">
        <f t="shared" si="193"/>
        <v>4.3301948657362719E+44</v>
      </c>
      <c r="AJ613">
        <f t="shared" si="194"/>
        <v>4.3301991848524612E+44</v>
      </c>
      <c r="AK613">
        <f t="shared" si="195"/>
        <v>101.77935763381505</v>
      </c>
      <c r="AL613" t="str">
        <f t="shared" si="196"/>
        <v/>
      </c>
    </row>
    <row r="614" spans="31:38" x14ac:dyDescent="0.25">
      <c r="AE614" t="s">
        <v>637</v>
      </c>
      <c r="AF614" s="4">
        <f t="shared" si="190"/>
        <v>101.77935763381505</v>
      </c>
      <c r="AG614">
        <f t="shared" si="191"/>
        <v>1.5929912562845628E+44</v>
      </c>
      <c r="AH614">
        <f t="shared" si="192"/>
        <v>1.5929928492766115E+44</v>
      </c>
      <c r="AI614">
        <f t="shared" si="193"/>
        <v>1.592989663294107E+44</v>
      </c>
      <c r="AJ614">
        <f t="shared" si="194"/>
        <v>1.5929912522384794E+44</v>
      </c>
      <c r="AK614">
        <f t="shared" si="195"/>
        <v>100.77935763127512</v>
      </c>
      <c r="AL614" t="str">
        <f t="shared" si="196"/>
        <v/>
      </c>
    </row>
    <row r="615" spans="31:38" x14ac:dyDescent="0.25">
      <c r="AE615" t="s">
        <v>638</v>
      </c>
      <c r="AF615" s="4">
        <f t="shared" si="190"/>
        <v>100.77935763127512</v>
      </c>
      <c r="AG615">
        <f t="shared" si="191"/>
        <v>5.8602873166448427E+43</v>
      </c>
      <c r="AH615">
        <f t="shared" si="192"/>
        <v>5.8602931769350744E+43</v>
      </c>
      <c r="AI615">
        <f t="shared" si="193"/>
        <v>5.8602814563604709E+43</v>
      </c>
      <c r="AJ615">
        <f t="shared" si="194"/>
        <v>5.8602873017365873E+43</v>
      </c>
      <c r="AK615">
        <f t="shared" si="195"/>
        <v>99.779357628731177</v>
      </c>
      <c r="AL615" t="str">
        <f t="shared" si="196"/>
        <v/>
      </c>
    </row>
    <row r="616" spans="31:38" x14ac:dyDescent="0.25">
      <c r="AE616" t="s">
        <v>639</v>
      </c>
      <c r="AF616" s="4">
        <f t="shared" si="190"/>
        <v>99.779357628731177</v>
      </c>
      <c r="AG616">
        <f t="shared" si="191"/>
        <v>2.1558792176669642E+43</v>
      </c>
      <c r="AH616">
        <f t="shared" si="192"/>
        <v>2.1558813735472545E+43</v>
      </c>
      <c r="AI616">
        <f t="shared" si="193"/>
        <v>2.1558770617888299E+43</v>
      </c>
      <c r="AJ616">
        <f t="shared" si="194"/>
        <v>2.1558792122885723E+43</v>
      </c>
      <c r="AK616">
        <f t="shared" si="195"/>
        <v>98.779357626236418</v>
      </c>
      <c r="AL616" t="str">
        <f t="shared" si="196"/>
        <v/>
      </c>
    </row>
    <row r="617" spans="31:38" x14ac:dyDescent="0.25">
      <c r="AE617" t="s">
        <v>640</v>
      </c>
      <c r="AF617" s="4">
        <f t="shared" si="190"/>
        <v>98.779357626236418</v>
      </c>
      <c r="AG617">
        <f t="shared" si="191"/>
        <v>7.9310363984984731E+42</v>
      </c>
      <c r="AH617">
        <f t="shared" si="192"/>
        <v>7.931044329538817E+42</v>
      </c>
      <c r="AI617">
        <f t="shared" si="193"/>
        <v>7.9310284674660595E+42</v>
      </c>
      <c r="AJ617">
        <f t="shared" si="194"/>
        <v>7.9310363787853352E+42</v>
      </c>
      <c r="AK617">
        <f t="shared" si="195"/>
        <v>97.779357623750855</v>
      </c>
      <c r="AL617" t="str">
        <f t="shared" si="196"/>
        <v/>
      </c>
    </row>
    <row r="618" spans="31:38" x14ac:dyDescent="0.25">
      <c r="AE618" t="s">
        <v>641</v>
      </c>
      <c r="AF618" s="4">
        <f t="shared" si="190"/>
        <v>97.779357623750855</v>
      </c>
      <c r="AG618">
        <f t="shared" si="191"/>
        <v>2.9176652309379436E+42</v>
      </c>
      <c r="AH618">
        <f t="shared" si="192"/>
        <v>2.9176681486046259E+42</v>
      </c>
      <c r="AI618">
        <f t="shared" si="193"/>
        <v>2.917662313274179E+42</v>
      </c>
      <c r="AJ618">
        <f t="shared" si="194"/>
        <v>2.9176652234427013E+42</v>
      </c>
      <c r="AK618">
        <f t="shared" si="195"/>
        <v>96.77935762118193</v>
      </c>
      <c r="AL618" t="str">
        <f t="shared" si="196"/>
        <v/>
      </c>
    </row>
    <row r="619" spans="31:38" x14ac:dyDescent="0.25">
      <c r="AE619" t="s">
        <v>642</v>
      </c>
      <c r="AF619" s="4">
        <f t="shared" si="190"/>
        <v>96.77935762118193</v>
      </c>
      <c r="AG619">
        <f t="shared" si="191"/>
        <v>1.0733490519254452E+42</v>
      </c>
      <c r="AH619">
        <f t="shared" si="192"/>
        <v>1.073350125275031E+42</v>
      </c>
      <c r="AI619">
        <f t="shared" si="193"/>
        <v>1.0733479785769327E+42</v>
      </c>
      <c r="AJ619">
        <f t="shared" si="194"/>
        <v>1.0733490491607512E+42</v>
      </c>
      <c r="AK619">
        <f t="shared" si="195"/>
        <v>95.77935761860617</v>
      </c>
      <c r="AL619" t="str">
        <f t="shared" si="196"/>
        <v/>
      </c>
    </row>
    <row r="620" spans="31:38" x14ac:dyDescent="0.25">
      <c r="AE620" t="s">
        <v>643</v>
      </c>
      <c r="AF620" s="4">
        <f t="shared" si="190"/>
        <v>95.77935761860617</v>
      </c>
      <c r="AG620">
        <f t="shared" si="191"/>
        <v>3.9486304838715772E+41</v>
      </c>
      <c r="AH620">
        <f t="shared" si="192"/>
        <v>3.9486344325040255E+41</v>
      </c>
      <c r="AI620">
        <f t="shared" si="193"/>
        <v>3.9486265352430779E+41</v>
      </c>
      <c r="AJ620">
        <f t="shared" si="194"/>
        <v>3.9486304738200248E+41</v>
      </c>
      <c r="AK620">
        <f t="shared" si="195"/>
        <v>94.779357616060594</v>
      </c>
      <c r="AL620" t="str">
        <f t="shared" si="196"/>
        <v/>
      </c>
    </row>
    <row r="621" spans="31:38" x14ac:dyDescent="0.25">
      <c r="AE621" t="s">
        <v>644</v>
      </c>
      <c r="AF621" s="4">
        <f t="shared" si="190"/>
        <v>94.779357616060594</v>
      </c>
      <c r="AG621">
        <f t="shared" si="191"/>
        <v>1.4526199721014428E+41</v>
      </c>
      <c r="AH621">
        <f t="shared" si="192"/>
        <v>1.4526214247221376E+41</v>
      </c>
      <c r="AI621">
        <f t="shared" si="193"/>
        <v>1.4526185194822008E+41</v>
      </c>
      <c r="AJ621">
        <f t="shared" si="194"/>
        <v>1.4526199684146622E+41</v>
      </c>
      <c r="AK621">
        <f t="shared" si="195"/>
        <v>93.779357613522578</v>
      </c>
      <c r="AL621" t="str">
        <f t="shared" si="196"/>
        <v/>
      </c>
    </row>
    <row r="622" spans="31:38" x14ac:dyDescent="0.25">
      <c r="AE622" t="s">
        <v>645</v>
      </c>
      <c r="AF622" s="4">
        <f t="shared" si="190"/>
        <v>93.779357613522578</v>
      </c>
      <c r="AG622">
        <f t="shared" si="191"/>
        <v>5.34389022214867E+40</v>
      </c>
      <c r="AH622">
        <f t="shared" si="192"/>
        <v>5.3438955660415506E+40</v>
      </c>
      <c r="AI622">
        <f t="shared" si="193"/>
        <v>5.3438848782611338E+40</v>
      </c>
      <c r="AJ622">
        <f t="shared" si="194"/>
        <v>5.3438902083994696E+40</v>
      </c>
      <c r="AK622">
        <f t="shared" si="195"/>
        <v>92.779357610949688</v>
      </c>
      <c r="AL622" t="str">
        <f t="shared" si="196"/>
        <v/>
      </c>
    </row>
    <row r="623" spans="31:38" x14ac:dyDescent="0.25">
      <c r="AE623" t="s">
        <v>646</v>
      </c>
      <c r="AF623" s="4">
        <f t="shared" si="190"/>
        <v>92.779357610949688</v>
      </c>
      <c r="AG623">
        <f t="shared" si="191"/>
        <v>1.9659073435475253E+40</v>
      </c>
      <c r="AH623">
        <f t="shared" si="192"/>
        <v>1.9659093094558468E+40</v>
      </c>
      <c r="AI623">
        <f t="shared" si="193"/>
        <v>1.9659053776411698E+40</v>
      </c>
      <c r="AJ623">
        <f t="shared" si="194"/>
        <v>1.9659073385206456E+40</v>
      </c>
      <c r="AK623">
        <f t="shared" si="195"/>
        <v>91.779357608392658</v>
      </c>
      <c r="AL623" t="str">
        <f t="shared" si="196"/>
        <v/>
      </c>
    </row>
    <row r="624" spans="31:38" x14ac:dyDescent="0.25">
      <c r="AE624" t="s">
        <v>647</v>
      </c>
      <c r="AF624" s="4">
        <f t="shared" si="190"/>
        <v>91.779357608392658</v>
      </c>
      <c r="AG624">
        <f t="shared" si="191"/>
        <v>7.2321689308981089E+39</v>
      </c>
      <c r="AH624">
        <f t="shared" si="192"/>
        <v>7.2321761630706384E+39</v>
      </c>
      <c r="AI624">
        <f t="shared" si="193"/>
        <v>7.2321616987328125E+39</v>
      </c>
      <c r="AJ624">
        <f t="shared" si="194"/>
        <v>7.2321689129488572E+39</v>
      </c>
      <c r="AK624">
        <f t="shared" si="195"/>
        <v>90.779357605910789</v>
      </c>
      <c r="AL624" t="str">
        <f t="shared" si="196"/>
        <v/>
      </c>
    </row>
    <row r="625" spans="31:38" x14ac:dyDescent="0.25">
      <c r="AE625" t="s">
        <v>648</v>
      </c>
      <c r="AF625" s="4">
        <f t="shared" si="190"/>
        <v>90.779357605910789</v>
      </c>
      <c r="AG625">
        <f t="shared" si="191"/>
        <v>2.660566258153087E+39</v>
      </c>
      <c r="AH625">
        <f t="shared" si="192"/>
        <v>2.6605689187206687E+39</v>
      </c>
      <c r="AI625">
        <f t="shared" si="193"/>
        <v>2.6605635975881661E+39</v>
      </c>
      <c r="AJ625">
        <f t="shared" si="194"/>
        <v>2.660566251314209E+39</v>
      </c>
      <c r="AK625">
        <f t="shared" si="195"/>
        <v>89.77935760334033</v>
      </c>
      <c r="AL625" t="str">
        <f t="shared" si="196"/>
        <v/>
      </c>
    </row>
    <row r="626" spans="31:38" x14ac:dyDescent="0.25">
      <c r="AE626" t="s">
        <v>649</v>
      </c>
      <c r="AF626" s="4">
        <f t="shared" si="190"/>
        <v>89.77935760334033</v>
      </c>
      <c r="AG626">
        <f t="shared" si="191"/>
        <v>9.787676257330706E+38</v>
      </c>
      <c r="AH626">
        <f t="shared" si="192"/>
        <v>9.7876860450118329E+38</v>
      </c>
      <c r="AI626">
        <f t="shared" si="193"/>
        <v>9.7876664696593669E+38</v>
      </c>
      <c r="AJ626">
        <f t="shared" si="194"/>
        <v>9.7876762329895423E+38</v>
      </c>
      <c r="AK626">
        <f t="shared" si="195"/>
        <v>88.779357600853416</v>
      </c>
      <c r="AL626" t="str">
        <f t="shared" si="196"/>
        <v/>
      </c>
    </row>
    <row r="627" spans="31:38" x14ac:dyDescent="0.25">
      <c r="AE627" t="s">
        <v>650</v>
      </c>
      <c r="AF627" s="4">
        <f t="shared" si="190"/>
        <v>88.779357600853416</v>
      </c>
      <c r="AG627">
        <f t="shared" si="191"/>
        <v>3.6006848629592212E+38</v>
      </c>
      <c r="AH627">
        <f t="shared" si="192"/>
        <v>3.6006884636458758E+38</v>
      </c>
      <c r="AI627">
        <f t="shared" si="193"/>
        <v>3.6006812622761678E+38</v>
      </c>
      <c r="AJ627">
        <f t="shared" si="194"/>
        <v>3.6006848539792923E+38</v>
      </c>
      <c r="AK627">
        <f t="shared" si="195"/>
        <v>87.779357598359468</v>
      </c>
      <c r="AL627" t="str">
        <f t="shared" si="196"/>
        <v/>
      </c>
    </row>
    <row r="628" spans="31:38" x14ac:dyDescent="0.25">
      <c r="AE628" t="s">
        <v>651</v>
      </c>
      <c r="AF628" s="4">
        <f t="shared" si="190"/>
        <v>87.779357598359468</v>
      </c>
      <c r="AG628">
        <f t="shared" si="191"/>
        <v>1.3246179319163813E+38</v>
      </c>
      <c r="AH628">
        <f t="shared" si="192"/>
        <v>1.3246192565349722E+38</v>
      </c>
      <c r="AI628">
        <f t="shared" si="193"/>
        <v>1.3246166072991151E+38</v>
      </c>
      <c r="AJ628">
        <f t="shared" si="194"/>
        <v>1.3246179285433973E+38</v>
      </c>
      <c r="AK628">
        <f t="shared" si="195"/>
        <v>86.779357595813082</v>
      </c>
      <c r="AL628" t="str">
        <f t="shared" si="196"/>
        <v/>
      </c>
    </row>
    <row r="629" spans="31:38" x14ac:dyDescent="0.25">
      <c r="AE629" t="s">
        <v>652</v>
      </c>
      <c r="AF629" s="4">
        <f t="shared" si="190"/>
        <v>86.779357595813082</v>
      </c>
      <c r="AG629">
        <f t="shared" si="191"/>
        <v>4.8729970331821674E+37</v>
      </c>
      <c r="AH629">
        <f t="shared" si="192"/>
        <v>4.8730019061816243E+37</v>
      </c>
      <c r="AI629">
        <f t="shared" si="193"/>
        <v>4.8729921601875829E+37</v>
      </c>
      <c r="AJ629">
        <f t="shared" si="194"/>
        <v>4.872997020694161E+37</v>
      </c>
      <c r="AK629">
        <f t="shared" si="195"/>
        <v>85.779357593250381</v>
      </c>
      <c r="AL629" t="str">
        <f t="shared" si="196"/>
        <v/>
      </c>
    </row>
    <row r="630" spans="31:38" x14ac:dyDescent="0.25">
      <c r="AE630" t="s">
        <v>653</v>
      </c>
      <c r="AF630" s="4">
        <f t="shared" si="190"/>
        <v>85.779357593250381</v>
      </c>
      <c r="AG630">
        <f t="shared" si="191"/>
        <v>1.7926754208030621E+37</v>
      </c>
      <c r="AH630">
        <f t="shared" si="192"/>
        <v>1.7926772134793748E+37</v>
      </c>
      <c r="AI630">
        <f t="shared" si="193"/>
        <v>1.7926736281285423E+37</v>
      </c>
      <c r="AJ630">
        <f t="shared" si="194"/>
        <v>1.7926754162540528E+37</v>
      </c>
      <c r="AK630">
        <f t="shared" si="195"/>
        <v>84.779357590712834</v>
      </c>
      <c r="AL630" t="str">
        <f t="shared" si="196"/>
        <v/>
      </c>
    </row>
    <row r="631" spans="31:38" x14ac:dyDescent="0.25">
      <c r="AE631" t="s">
        <v>654</v>
      </c>
      <c r="AF631" s="4">
        <f t="shared" si="190"/>
        <v>84.779357590712834</v>
      </c>
      <c r="AG631">
        <f t="shared" si="191"/>
        <v>6.5948843033332784E+36</v>
      </c>
      <c r="AH631">
        <f t="shared" si="192"/>
        <v>6.5948908982208622E+36</v>
      </c>
      <c r="AI631">
        <f t="shared" si="193"/>
        <v>6.5948777084522892E+36</v>
      </c>
      <c r="AJ631">
        <f t="shared" si="194"/>
        <v>6.5948842865057039E+36</v>
      </c>
      <c r="AK631">
        <f t="shared" si="195"/>
        <v>83.779357588161218</v>
      </c>
      <c r="AL631" t="str">
        <f t="shared" si="196"/>
        <v/>
      </c>
    </row>
    <row r="632" spans="31:38" x14ac:dyDescent="0.25">
      <c r="AE632" t="s">
        <v>655</v>
      </c>
      <c r="AF632" s="4">
        <f t="shared" si="190"/>
        <v>83.779357588161218</v>
      </c>
      <c r="AG632">
        <f t="shared" si="191"/>
        <v>2.4261223459100311E+36</v>
      </c>
      <c r="AH632">
        <f t="shared" si="192"/>
        <v>2.4261247720335838E+36</v>
      </c>
      <c r="AI632">
        <f t="shared" si="193"/>
        <v>2.4261199197889042E+36</v>
      </c>
      <c r="AJ632">
        <f t="shared" si="194"/>
        <v>2.426122339793751E+36</v>
      </c>
      <c r="AK632">
        <f t="shared" si="195"/>
        <v>82.779357585640213</v>
      </c>
      <c r="AL632" t="str">
        <f t="shared" si="196"/>
        <v/>
      </c>
    </row>
    <row r="633" spans="31:38" x14ac:dyDescent="0.25">
      <c r="AE633" t="s">
        <v>656</v>
      </c>
      <c r="AF633" s="4">
        <f t="shared" si="190"/>
        <v>82.779357585640213</v>
      </c>
      <c r="AG633">
        <f t="shared" si="191"/>
        <v>8.9252053057688156E+35</v>
      </c>
      <c r="AH633">
        <f t="shared" si="192"/>
        <v>8.9252142309785619E+35</v>
      </c>
      <c r="AI633">
        <f t="shared" si="193"/>
        <v>8.9251963805679946E+35</v>
      </c>
      <c r="AJ633">
        <f t="shared" si="194"/>
        <v>8.9252052836385327E+35</v>
      </c>
      <c r="AK633">
        <f t="shared" si="195"/>
        <v>81.779357583160689</v>
      </c>
      <c r="AL633" t="str">
        <f t="shared" si="196"/>
        <v/>
      </c>
    </row>
    <row r="634" spans="31:38" x14ac:dyDescent="0.25">
      <c r="AE634" t="s">
        <v>657</v>
      </c>
      <c r="AF634" s="4">
        <f t="shared" si="190"/>
        <v>81.779357583160689</v>
      </c>
      <c r="AG634">
        <f t="shared" si="191"/>
        <v>3.2833995320853555E+35</v>
      </c>
      <c r="AH634">
        <f t="shared" si="192"/>
        <v>3.2834028154865211E+35</v>
      </c>
      <c r="AI634">
        <f t="shared" si="193"/>
        <v>3.2833962486874735E+35</v>
      </c>
      <c r="AJ634">
        <f t="shared" si="194"/>
        <v>3.283399523761418E+35</v>
      </c>
      <c r="AK634">
        <f t="shared" si="195"/>
        <v>80.779357580625529</v>
      </c>
      <c r="AL634" t="str">
        <f t="shared" si="196"/>
        <v/>
      </c>
    </row>
    <row r="635" spans="31:38" x14ac:dyDescent="0.25">
      <c r="AE635" t="s">
        <v>658</v>
      </c>
      <c r="AF635" s="4">
        <f t="shared" si="190"/>
        <v>80.779357580625529</v>
      </c>
      <c r="AG635">
        <f t="shared" si="191"/>
        <v>1.2078951819439288E+35</v>
      </c>
      <c r="AH635">
        <f t="shared" si="192"/>
        <v>1.2078963898397115E+35</v>
      </c>
      <c r="AI635">
        <f t="shared" si="193"/>
        <v>1.2078939740493537E+35</v>
      </c>
      <c r="AJ635">
        <f t="shared" si="194"/>
        <v>1.2078951789017091E+35</v>
      </c>
      <c r="AK635">
        <f t="shared" si="195"/>
        <v>79.779357578106911</v>
      </c>
      <c r="AL635" t="str">
        <f t="shared" si="196"/>
        <v/>
      </c>
    </row>
    <row r="636" spans="31:38" x14ac:dyDescent="0.25">
      <c r="AE636" t="s">
        <v>659</v>
      </c>
      <c r="AF636" s="4">
        <f t="shared" si="190"/>
        <v>79.779357578106911</v>
      </c>
      <c r="AG636">
        <f t="shared" si="191"/>
        <v>4.4435980340803749E+34</v>
      </c>
      <c r="AH636">
        <f t="shared" si="192"/>
        <v>4.4436024776806187E+34</v>
      </c>
      <c r="AI636">
        <f t="shared" si="193"/>
        <v>4.443593590484573E+34</v>
      </c>
      <c r="AJ636">
        <f t="shared" si="194"/>
        <v>4.4435980228257774E+34</v>
      </c>
      <c r="AK636">
        <f t="shared" si="195"/>
        <v>78.779357575574139</v>
      </c>
      <c r="AL636" t="str">
        <f t="shared" si="196"/>
        <v/>
      </c>
    </row>
    <row r="637" spans="31:38" x14ac:dyDescent="0.25">
      <c r="AE637" t="s">
        <v>660</v>
      </c>
      <c r="AF637" s="4">
        <f t="shared" si="190"/>
        <v>78.779357575574139</v>
      </c>
      <c r="AG637">
        <f t="shared" si="191"/>
        <v>1.634708357427664E+34</v>
      </c>
      <c r="AH637">
        <f t="shared" si="192"/>
        <v>1.6347099921368347E+34</v>
      </c>
      <c r="AI637">
        <f t="shared" si="193"/>
        <v>1.6347067227201281E+34</v>
      </c>
      <c r="AJ637">
        <f t="shared" si="194"/>
        <v>1.6347083532741178E+34</v>
      </c>
      <c r="AK637">
        <f t="shared" si="195"/>
        <v>77.779357573033295</v>
      </c>
      <c r="AL637" t="str">
        <f t="shared" si="196"/>
        <v/>
      </c>
    </row>
    <row r="638" spans="31:38" x14ac:dyDescent="0.25">
      <c r="AE638" t="s">
        <v>661</v>
      </c>
      <c r="AF638" s="4">
        <f t="shared" si="190"/>
        <v>77.779357573033295</v>
      </c>
      <c r="AG638">
        <f t="shared" si="191"/>
        <v>6.0137559548077382E+33</v>
      </c>
      <c r="AH638">
        <f t="shared" si="192"/>
        <v>6.013761968566685E+33</v>
      </c>
      <c r="AI638">
        <f t="shared" si="193"/>
        <v>6.0137499410548061E+33</v>
      </c>
      <c r="AJ638">
        <f t="shared" si="194"/>
        <v>6.0137559394737081E+33</v>
      </c>
      <c r="AK638">
        <f t="shared" si="195"/>
        <v>76.779357570483469</v>
      </c>
      <c r="AL638" t="str">
        <f t="shared" si="196"/>
        <v/>
      </c>
    </row>
    <row r="639" spans="31:38" x14ac:dyDescent="0.25">
      <c r="AE639" t="s">
        <v>662</v>
      </c>
      <c r="AF639" s="4">
        <f t="shared" si="190"/>
        <v>76.779357570483469</v>
      </c>
      <c r="AG639">
        <f t="shared" si="191"/>
        <v>2.2123371743550311E+33</v>
      </c>
      <c r="AH639">
        <f t="shared" si="192"/>
        <v>2.2123393866933061E+33</v>
      </c>
      <c r="AI639">
        <f t="shared" si="193"/>
        <v>2.2123349620189685E+33</v>
      </c>
      <c r="AJ639">
        <f t="shared" si="194"/>
        <v>2.2123371688037907E+33</v>
      </c>
      <c r="AK639">
        <f t="shared" si="195"/>
        <v>75.779357567974245</v>
      </c>
      <c r="AL639" t="str">
        <f t="shared" si="196"/>
        <v/>
      </c>
    </row>
    <row r="640" spans="31:38" x14ac:dyDescent="0.25">
      <c r="AE640" t="s">
        <v>663</v>
      </c>
      <c r="AF640" s="4">
        <f t="shared" si="190"/>
        <v>75.779357567974245</v>
      </c>
      <c r="AG640">
        <f t="shared" si="191"/>
        <v>8.1387336134234534E+32</v>
      </c>
      <c r="AH640">
        <f t="shared" si="192"/>
        <v>8.1387417521611157E+32</v>
      </c>
      <c r="AI640">
        <f t="shared" si="193"/>
        <v>8.1387254746939308E+32</v>
      </c>
      <c r="AJ640">
        <f t="shared" si="194"/>
        <v>8.1387335924245951E+32</v>
      </c>
      <c r="AK640">
        <f t="shared" si="195"/>
        <v>74.779357565394136</v>
      </c>
      <c r="AL640" t="str">
        <f t="shared" si="196"/>
        <v/>
      </c>
    </row>
    <row r="641" spans="31:38" x14ac:dyDescent="0.25">
      <c r="AE641" t="s">
        <v>664</v>
      </c>
      <c r="AF641" s="4">
        <f t="shared" si="190"/>
        <v>74.779357565394136</v>
      </c>
      <c r="AG641">
        <f t="shared" si="191"/>
        <v>2.9940727658244207E+32</v>
      </c>
      <c r="AH641">
        <f t="shared" si="192"/>
        <v>2.9940757598986763E+32</v>
      </c>
      <c r="AI641">
        <f t="shared" si="193"/>
        <v>2.9940697717531595E+32</v>
      </c>
      <c r="AJ641">
        <f t="shared" si="194"/>
        <v>2.9940727584192452E+32</v>
      </c>
      <c r="AK641">
        <f t="shared" si="195"/>
        <v>73.779357562920865</v>
      </c>
      <c r="AL641" t="str">
        <f t="shared" si="196"/>
        <v/>
      </c>
    </row>
    <row r="642" spans="31:38" x14ac:dyDescent="0.25">
      <c r="AE642" t="s">
        <v>665</v>
      </c>
      <c r="AF642" s="4">
        <f t="shared" si="190"/>
        <v>73.779357562920865</v>
      </c>
      <c r="AG642">
        <f t="shared" si="191"/>
        <v>1.1014578131939186E+32</v>
      </c>
      <c r="AH642">
        <f t="shared" si="192"/>
        <v>1.1014589146522798E+32</v>
      </c>
      <c r="AI642">
        <f t="shared" si="193"/>
        <v>1.1014567117366589E+32</v>
      </c>
      <c r="AJ642">
        <f t="shared" si="194"/>
        <v>1.1014578104366681E+32</v>
      </c>
      <c r="AK642">
        <f t="shared" si="195"/>
        <v>72.779357560417594</v>
      </c>
      <c r="AL642" t="str">
        <f t="shared" si="196"/>
        <v/>
      </c>
    </row>
    <row r="643" spans="31:38" x14ac:dyDescent="0.25">
      <c r="AE643" t="s">
        <v>666</v>
      </c>
      <c r="AF643" s="4">
        <f t="shared" si="190"/>
        <v>72.779357560417594</v>
      </c>
      <c r="AG643">
        <f t="shared" si="191"/>
        <v>4.0520368377736325E+31</v>
      </c>
      <c r="AH643">
        <f t="shared" si="192"/>
        <v>4.0520408898124861E+31</v>
      </c>
      <c r="AI643">
        <f t="shared" si="193"/>
        <v>4.0520327857388312E+31</v>
      </c>
      <c r="AJ643">
        <f t="shared" si="194"/>
        <v>4.0520368274823696E+31</v>
      </c>
      <c r="AK643">
        <f t="shared" si="195"/>
        <v>71.779357557877816</v>
      </c>
      <c r="AL643" t="str">
        <f t="shared" si="196"/>
        <v/>
      </c>
    </row>
    <row r="644" spans="31:38" x14ac:dyDescent="0.25">
      <c r="AE644" t="s">
        <v>667</v>
      </c>
      <c r="AF644" s="4">
        <f t="shared" si="190"/>
        <v>71.779357557877816</v>
      </c>
      <c r="AG644">
        <f t="shared" si="191"/>
        <v>1.4906610437003138E+31</v>
      </c>
      <c r="AH644">
        <f t="shared" si="192"/>
        <v>1.4906625343620991E+31</v>
      </c>
      <c r="AI644">
        <f t="shared" si="193"/>
        <v>1.4906595530400191E+31</v>
      </c>
      <c r="AJ644">
        <f t="shared" si="194"/>
        <v>1.4906610399822725E+31</v>
      </c>
      <c r="AK644">
        <f t="shared" si="195"/>
        <v>70.779357555383598</v>
      </c>
      <c r="AL644" t="str">
        <f t="shared" si="196"/>
        <v/>
      </c>
    </row>
    <row r="645" spans="31:38" x14ac:dyDescent="0.25">
      <c r="AE645" t="s">
        <v>668</v>
      </c>
      <c r="AF645" s="4">
        <f t="shared" si="190"/>
        <v>70.779357555383598</v>
      </c>
      <c r="AG645">
        <f t="shared" si="191"/>
        <v>5.483835503647222E+30</v>
      </c>
      <c r="AH645">
        <f t="shared" si="192"/>
        <v>5.4838409874854543E+30</v>
      </c>
      <c r="AI645">
        <f t="shared" si="193"/>
        <v>5.483830019814474E+30</v>
      </c>
      <c r="AJ645">
        <f t="shared" si="194"/>
        <v>5.4838354901084671E+30</v>
      </c>
      <c r="AK645">
        <f t="shared" si="195"/>
        <v>69.779357552914746</v>
      </c>
      <c r="AL645" t="str">
        <f t="shared" si="196"/>
        <v/>
      </c>
    </row>
    <row r="646" spans="31:38" x14ac:dyDescent="0.25">
      <c r="AE646" t="s">
        <v>669</v>
      </c>
      <c r="AF646" s="4">
        <f t="shared" si="190"/>
        <v>69.779357552914746</v>
      </c>
      <c r="AG646">
        <f t="shared" si="191"/>
        <v>2.0173903355772174E+30</v>
      </c>
      <c r="AH646">
        <f t="shared" si="192"/>
        <v>2.0173923529685565E+30</v>
      </c>
      <c r="AI646">
        <f t="shared" si="193"/>
        <v>2.0173883181878956E+30</v>
      </c>
      <c r="AJ646">
        <f t="shared" si="194"/>
        <v>2.0173903304585631E+30</v>
      </c>
      <c r="AK646">
        <f t="shared" si="195"/>
        <v>68.779357550377483</v>
      </c>
      <c r="AL646" t="str">
        <f t="shared" si="196"/>
        <v/>
      </c>
    </row>
    <row r="647" spans="31:38" x14ac:dyDescent="0.25">
      <c r="AE647" t="s">
        <v>670</v>
      </c>
      <c r="AF647" s="4">
        <f t="shared" si="190"/>
        <v>68.779357550377483</v>
      </c>
      <c r="AG647">
        <f t="shared" si="191"/>
        <v>7.421564273937693E+29</v>
      </c>
      <c r="AH647">
        <f t="shared" si="192"/>
        <v>7.4215716955056587E+29</v>
      </c>
      <c r="AI647">
        <f t="shared" si="193"/>
        <v>7.4215568523771484E+29</v>
      </c>
      <c r="AJ647">
        <f t="shared" si="194"/>
        <v>7.4215642551870826E+29</v>
      </c>
      <c r="AK647">
        <f t="shared" si="195"/>
        <v>67.779357547850978</v>
      </c>
      <c r="AL647" t="str">
        <f t="shared" si="196"/>
        <v/>
      </c>
    </row>
    <row r="648" spans="31:38" x14ac:dyDescent="0.25">
      <c r="AE648" t="s">
        <v>671</v>
      </c>
      <c r="AF648" s="4">
        <f t="shared" si="190"/>
        <v>67.779357547850978</v>
      </c>
      <c r="AG648">
        <f t="shared" si="191"/>
        <v>2.7302409108161716E+29</v>
      </c>
      <c r="AH648">
        <f t="shared" si="192"/>
        <v>2.7302436410584404E+29</v>
      </c>
      <c r="AI648">
        <f t="shared" si="193"/>
        <v>2.7302381805766327E+29</v>
      </c>
      <c r="AJ648">
        <f t="shared" si="194"/>
        <v>2.7302409038771516E+29</v>
      </c>
      <c r="AK648">
        <f t="shared" si="195"/>
        <v>66.779357545309438</v>
      </c>
      <c r="AL648" t="str">
        <f t="shared" si="196"/>
        <v/>
      </c>
    </row>
    <row r="649" spans="31:38" x14ac:dyDescent="0.25">
      <c r="AE649" t="s">
        <v>672</v>
      </c>
      <c r="AF649" s="4">
        <f t="shared" si="190"/>
        <v>66.779357545309438</v>
      </c>
      <c r="AG649">
        <f t="shared" si="191"/>
        <v>1.004399497981741E+29</v>
      </c>
      <c r="AH649">
        <f t="shared" si="192"/>
        <v>1.0044005023817387E+29</v>
      </c>
      <c r="AI649">
        <f t="shared" si="193"/>
        <v>1.0043984935827477E+29</v>
      </c>
      <c r="AJ649">
        <f t="shared" si="194"/>
        <v>1.0043994954772928E+29</v>
      </c>
      <c r="AK649">
        <f t="shared" si="195"/>
        <v>65.779357542815958</v>
      </c>
      <c r="AL649" t="str">
        <f t="shared" si="196"/>
        <v/>
      </c>
    </row>
    <row r="650" spans="31:38" x14ac:dyDescent="0.25">
      <c r="AE650" t="s">
        <v>673</v>
      </c>
      <c r="AF650" s="4">
        <f t="shared" si="190"/>
        <v>65.779357542815958</v>
      </c>
      <c r="AG650">
        <f t="shared" si="191"/>
        <v>3.6949792510906469E+28</v>
      </c>
      <c r="AH650">
        <f t="shared" si="192"/>
        <v>3.6949829460717363E+28</v>
      </c>
      <c r="AI650">
        <f t="shared" si="193"/>
        <v>3.6949755561132527E+28</v>
      </c>
      <c r="AJ650">
        <f t="shared" si="194"/>
        <v>3.6949792418241326E+28</v>
      </c>
      <c r="AK650">
        <f t="shared" si="195"/>
        <v>64.779357540308098</v>
      </c>
      <c r="AL650" t="str">
        <f t="shared" si="196"/>
        <v/>
      </c>
    </row>
    <row r="651" spans="31:38" x14ac:dyDescent="0.25">
      <c r="AE651" t="s">
        <v>674</v>
      </c>
      <c r="AF651" s="4">
        <f t="shared" si="190"/>
        <v>64.779357540308098</v>
      </c>
      <c r="AG651">
        <f t="shared" si="191"/>
        <v>1.3593068986223495E+28</v>
      </c>
      <c r="AH651">
        <f t="shared" si="192"/>
        <v>1.3593082579299244E+28</v>
      </c>
      <c r="AI651">
        <f t="shared" si="193"/>
        <v>1.3593055393161339E+28</v>
      </c>
      <c r="AJ651">
        <f t="shared" si="194"/>
        <v>1.3593068952353944E+28</v>
      </c>
      <c r="AK651">
        <f t="shared" si="195"/>
        <v>63.779357537816423</v>
      </c>
      <c r="AL651" t="str">
        <f t="shared" si="196"/>
        <v/>
      </c>
    </row>
    <row r="652" spans="31:38" x14ac:dyDescent="0.25">
      <c r="AE652" t="s">
        <v>675</v>
      </c>
      <c r="AF652" s="4">
        <f t="shared" si="190"/>
        <v>63.779357537816423</v>
      </c>
      <c r="AG652">
        <f t="shared" si="191"/>
        <v>5.00061060999687E+27</v>
      </c>
      <c r="AH652">
        <f t="shared" si="192"/>
        <v>5.0006156106099677E+27</v>
      </c>
      <c r="AI652">
        <f t="shared" si="193"/>
        <v>5.0006056093887728E+27</v>
      </c>
      <c r="AJ652">
        <f t="shared" si="194"/>
        <v>5.0006105974386396E+27</v>
      </c>
      <c r="AK652">
        <f t="shared" si="195"/>
        <v>62.779357535305081</v>
      </c>
      <c r="AL652" t="str">
        <f t="shared" si="196"/>
        <v/>
      </c>
    </row>
    <row r="653" spans="31:38" x14ac:dyDescent="0.25">
      <c r="AE653" t="s">
        <v>676</v>
      </c>
      <c r="AF653" s="4">
        <f t="shared" si="190"/>
        <v>62.779357535305081</v>
      </c>
      <c r="AG653">
        <f t="shared" si="191"/>
        <v>1.8396218321017137E+27</v>
      </c>
      <c r="AH653">
        <f t="shared" si="192"/>
        <v>1.8396236717244611E+27</v>
      </c>
      <c r="AI653">
        <f t="shared" si="193"/>
        <v>1.8396199924808061E+27</v>
      </c>
      <c r="AJ653">
        <f t="shared" si="194"/>
        <v>1.8396218274977111E+27</v>
      </c>
      <c r="AK653">
        <f t="shared" si="195"/>
        <v>61.779357532802393</v>
      </c>
      <c r="AL653" t="str">
        <f t="shared" si="196"/>
        <v/>
      </c>
    </row>
    <row r="654" spans="31:38" x14ac:dyDescent="0.25">
      <c r="AE654" t="s">
        <v>677</v>
      </c>
      <c r="AF654" s="4">
        <f t="shared" si="190"/>
        <v>61.779357532802393</v>
      </c>
      <c r="AG654">
        <f t="shared" si="191"/>
        <v>6.7675904986664672E+26</v>
      </c>
      <c r="AH654">
        <f t="shared" si="192"/>
        <v>6.7675972662603319E+26</v>
      </c>
      <c r="AI654">
        <f t="shared" si="193"/>
        <v>6.7675837310793685E+26</v>
      </c>
      <c r="AJ654">
        <f t="shared" si="194"/>
        <v>6.7675904816999458E+26</v>
      </c>
      <c r="AK654">
        <f t="shared" si="195"/>
        <v>60.779357530295371</v>
      </c>
      <c r="AL654" t="str">
        <f t="shared" si="196"/>
        <v/>
      </c>
    </row>
    <row r="655" spans="31:38" x14ac:dyDescent="0.25">
      <c r="AE655" t="s">
        <v>678</v>
      </c>
      <c r="AF655" s="4">
        <f t="shared" si="190"/>
        <v>60.779357530295371</v>
      </c>
      <c r="AG655">
        <f t="shared" si="191"/>
        <v>2.4896574044849562E+26</v>
      </c>
      <c r="AH655">
        <f t="shared" si="192"/>
        <v>2.4896598941435992E+26</v>
      </c>
      <c r="AI655">
        <f t="shared" si="193"/>
        <v>2.4896549148288029E+26</v>
      </c>
      <c r="AJ655">
        <f t="shared" si="194"/>
        <v>2.4896573981118484E+26</v>
      </c>
      <c r="AK655">
        <f t="shared" si="195"/>
        <v>59.779357527735542</v>
      </c>
      <c r="AL655" t="str">
        <f t="shared" si="196"/>
        <v/>
      </c>
    </row>
    <row r="656" spans="31:38" x14ac:dyDescent="0.25">
      <c r="AE656" t="s">
        <v>679</v>
      </c>
      <c r="AF656" s="4">
        <f t="shared" ref="AF656:AF719" si="197">AK655</f>
        <v>59.779357527735542</v>
      </c>
      <c r="AG656">
        <f t="shared" ref="AG656:AG719" si="198">EXP(AF656)-ATAN(AF656)-1.5</f>
        <v>9.1589377232573721E+25</v>
      </c>
      <c r="AH656">
        <f t="shared" ref="AH656:AH719" si="199">EXP(AF656+E$6)-ATAN(AF656+E$6)-1.5</f>
        <v>9.158946882199651E+25</v>
      </c>
      <c r="AI656">
        <f t="shared" ref="AI656:AI719" si="200">EXP(AF656-E$6)-ATAN(AF656-E$6)-1.5</f>
        <v>9.1589285643242517E+25</v>
      </c>
      <c r="AJ656">
        <f t="shared" ref="AJ656:AJ719" si="201">(AH656-AI656)/(E$6*2)</f>
        <v>9.1589376996706091E+25</v>
      </c>
      <c r="AK656">
        <f t="shared" ref="AK656:AK719" si="202">AF656-AG656/AJ656</f>
        <v>58.779357525160272</v>
      </c>
      <c r="AL656" t="str">
        <f t="shared" ref="AL656:AL719" si="203">IF(AF657=AF656,"STOP","")</f>
        <v/>
      </c>
    </row>
    <row r="657" spans="31:38" x14ac:dyDescent="0.25">
      <c r="AE657" t="s">
        <v>680</v>
      </c>
      <c r="AF657" s="4">
        <f t="shared" si="197"/>
        <v>58.779357525160272</v>
      </c>
      <c r="AG657">
        <f t="shared" si="198"/>
        <v>3.3693848826788893E+25</v>
      </c>
      <c r="AH657">
        <f t="shared" si="199"/>
        <v>3.3693882520654481E+25</v>
      </c>
      <c r="AI657">
        <f t="shared" si="200"/>
        <v>3.3693815132956995E+25</v>
      </c>
      <c r="AJ657">
        <f t="shared" si="201"/>
        <v>3.3693848742962135E+25</v>
      </c>
      <c r="AK657">
        <f t="shared" si="202"/>
        <v>57.779357522672377</v>
      </c>
      <c r="AL657" t="str">
        <f t="shared" si="203"/>
        <v/>
      </c>
    </row>
    <row r="658" spans="31:38" x14ac:dyDescent="0.25">
      <c r="AE658" t="s">
        <v>681</v>
      </c>
      <c r="AF658" s="4">
        <f t="shared" si="197"/>
        <v>57.779357522672377</v>
      </c>
      <c r="AG658">
        <f t="shared" si="198"/>
        <v>1.2395274246476022E+25</v>
      </c>
      <c r="AH658">
        <f t="shared" si="199"/>
        <v>1.2395286641756435E+25</v>
      </c>
      <c r="AI658">
        <f t="shared" si="200"/>
        <v>1.2395261851208005E+25</v>
      </c>
      <c r="AJ658">
        <f t="shared" si="201"/>
        <v>1.239527421502292E+25</v>
      </c>
      <c r="AK658">
        <f t="shared" si="202"/>
        <v>56.779357520134873</v>
      </c>
      <c r="AL658" t="str">
        <f t="shared" si="203"/>
        <v/>
      </c>
    </row>
    <row r="659" spans="31:38" x14ac:dyDescent="0.25">
      <c r="AE659" t="s">
        <v>682</v>
      </c>
      <c r="AF659" s="4">
        <f t="shared" si="197"/>
        <v>56.779357520134873</v>
      </c>
      <c r="AG659">
        <f t="shared" si="198"/>
        <v>4.5599665513894347E+24</v>
      </c>
      <c r="AH659">
        <f t="shared" si="199"/>
        <v>4.5599711113582545E+24</v>
      </c>
      <c r="AI659">
        <f t="shared" si="200"/>
        <v>4.5599619914251744E+24</v>
      </c>
      <c r="AJ659">
        <f t="shared" si="201"/>
        <v>4.5599665400609505E+24</v>
      </c>
      <c r="AK659">
        <f t="shared" si="202"/>
        <v>55.779357517650539</v>
      </c>
      <c r="AL659" t="str">
        <f t="shared" si="203"/>
        <v/>
      </c>
    </row>
    <row r="660" spans="31:38" x14ac:dyDescent="0.25">
      <c r="AE660" t="s">
        <v>683</v>
      </c>
      <c r="AF660" s="4">
        <f t="shared" si="197"/>
        <v>55.779357517650539</v>
      </c>
      <c r="AG660">
        <f t="shared" si="198"/>
        <v>1.6775179425180985E+24</v>
      </c>
      <c r="AH660">
        <f t="shared" si="199"/>
        <v>1.6775196200368756E+24</v>
      </c>
      <c r="AI660">
        <f t="shared" si="200"/>
        <v>1.677516265000999E+24</v>
      </c>
      <c r="AJ660">
        <f t="shared" si="201"/>
        <v>1.6775179382879683E+24</v>
      </c>
      <c r="AK660">
        <f t="shared" si="202"/>
        <v>54.779357515128879</v>
      </c>
      <c r="AL660" t="str">
        <f t="shared" si="203"/>
        <v/>
      </c>
    </row>
    <row r="661" spans="31:38" x14ac:dyDescent="0.25">
      <c r="AE661" t="s">
        <v>684</v>
      </c>
      <c r="AF661" s="4">
        <f t="shared" si="197"/>
        <v>54.779357515128879</v>
      </c>
      <c r="AG661">
        <f t="shared" si="198"/>
        <v>6.1712436169244832E+23</v>
      </c>
      <c r="AH661">
        <f t="shared" si="199"/>
        <v>6.1712497881711709E+23</v>
      </c>
      <c r="AI661">
        <f t="shared" si="200"/>
        <v>6.1712374456839682E+23</v>
      </c>
      <c r="AJ661">
        <f t="shared" si="201"/>
        <v>6.1712436013354189E+23</v>
      </c>
      <c r="AK661">
        <f t="shared" si="202"/>
        <v>53.7793575126028</v>
      </c>
      <c r="AL661" t="str">
        <f t="shared" si="203"/>
        <v/>
      </c>
    </row>
    <row r="662" spans="31:38" x14ac:dyDescent="0.25">
      <c r="AE662" t="s">
        <v>685</v>
      </c>
      <c r="AF662" s="4">
        <f t="shared" si="197"/>
        <v>53.7793575126028</v>
      </c>
      <c r="AG662">
        <f t="shared" si="198"/>
        <v>2.2702736473921193E+23</v>
      </c>
      <c r="AH662">
        <f t="shared" si="199"/>
        <v>2.2702759176668958E+23</v>
      </c>
      <c r="AI662">
        <f t="shared" si="200"/>
        <v>2.2702713771196127E+23</v>
      </c>
      <c r="AJ662">
        <f t="shared" si="201"/>
        <v>2.2702736415916032E+23</v>
      </c>
      <c r="AK662">
        <f t="shared" si="202"/>
        <v>52.779357510047817</v>
      </c>
      <c r="AL662" t="str">
        <f t="shared" si="203"/>
        <v/>
      </c>
    </row>
    <row r="663" spans="31:38" x14ac:dyDescent="0.25">
      <c r="AE663" t="s">
        <v>686</v>
      </c>
      <c r="AF663" s="4">
        <f t="shared" si="197"/>
        <v>52.779357510047817</v>
      </c>
      <c r="AG663">
        <f t="shared" si="198"/>
        <v>8.3518699857497565E+22</v>
      </c>
      <c r="AH663">
        <f t="shared" si="199"/>
        <v>8.3518783376238978E+22</v>
      </c>
      <c r="AI663">
        <f t="shared" si="200"/>
        <v>8.351861633883967E+22</v>
      </c>
      <c r="AJ663">
        <f t="shared" si="201"/>
        <v>8.35186996543488E+22</v>
      </c>
      <c r="AK663">
        <f t="shared" si="202"/>
        <v>51.779357507615444</v>
      </c>
      <c r="AL663" t="str">
        <f t="shared" si="203"/>
        <v/>
      </c>
    </row>
    <row r="664" spans="31:38" x14ac:dyDescent="0.25">
      <c r="AE664" t="s">
        <v>687</v>
      </c>
      <c r="AF664" s="4">
        <f t="shared" si="197"/>
        <v>51.779357507615444</v>
      </c>
      <c r="AG664">
        <f t="shared" si="198"/>
        <v>3.0724812556207435E+22</v>
      </c>
      <c r="AH664">
        <f t="shared" si="199"/>
        <v>3.0724843281035276E+22</v>
      </c>
      <c r="AI664">
        <f t="shared" si="200"/>
        <v>3.0724781831410317E+22</v>
      </c>
      <c r="AJ664">
        <f t="shared" si="201"/>
        <v>3.0724812479397888E+22</v>
      </c>
      <c r="AK664">
        <f t="shared" si="202"/>
        <v>50.779357505115527</v>
      </c>
      <c r="AL664" t="str">
        <f t="shared" si="203"/>
        <v/>
      </c>
    </row>
    <row r="665" spans="31:38" x14ac:dyDescent="0.25">
      <c r="AE665" t="s">
        <v>688</v>
      </c>
      <c r="AF665" s="4">
        <f t="shared" si="197"/>
        <v>50.779357505115527</v>
      </c>
      <c r="AG665">
        <f t="shared" si="198"/>
        <v>1.1303026845018279E+22</v>
      </c>
      <c r="AH665">
        <f t="shared" si="199"/>
        <v>1.1303038148050747E+22</v>
      </c>
      <c r="AI665">
        <f t="shared" si="200"/>
        <v>1.1303015541997115E+22</v>
      </c>
      <c r="AJ665">
        <f t="shared" si="201"/>
        <v>1.1303026815926272E+22</v>
      </c>
      <c r="AK665">
        <f t="shared" si="202"/>
        <v>49.7793575025417</v>
      </c>
      <c r="AL665" t="str">
        <f t="shared" si="203"/>
        <v/>
      </c>
    </row>
    <row r="666" spans="31:38" x14ac:dyDescent="0.25">
      <c r="AE666" t="s">
        <v>689</v>
      </c>
      <c r="AF666" s="4">
        <f t="shared" si="197"/>
        <v>49.7793575025417</v>
      </c>
      <c r="AG666">
        <f t="shared" si="198"/>
        <v>4.1581511885887719E+21</v>
      </c>
      <c r="AH666">
        <f t="shared" si="199"/>
        <v>4.1581553467420291E+21</v>
      </c>
      <c r="AI666">
        <f t="shared" si="200"/>
        <v>4.1581470304396729E+21</v>
      </c>
      <c r="AJ666">
        <f t="shared" si="201"/>
        <v>4.158151178059776E+21</v>
      </c>
      <c r="AK666">
        <f t="shared" si="202"/>
        <v>48.779357500009567</v>
      </c>
      <c r="AL666" t="str">
        <f t="shared" si="203"/>
        <v/>
      </c>
    </row>
    <row r="667" spans="31:38" x14ac:dyDescent="0.25">
      <c r="AE667" t="s">
        <v>690</v>
      </c>
      <c r="AF667" s="4">
        <f t="shared" si="197"/>
        <v>48.779357500009567</v>
      </c>
      <c r="AG667">
        <f t="shared" si="198"/>
        <v>1.5296983316910068E+21</v>
      </c>
      <c r="AH667">
        <f t="shared" si="199"/>
        <v>1.5296998613900995E+21</v>
      </c>
      <c r="AI667">
        <f t="shared" si="200"/>
        <v>1.529696801993444E+21</v>
      </c>
      <c r="AJ667">
        <f t="shared" si="201"/>
        <v>1.529698327724032E+21</v>
      </c>
      <c r="AK667">
        <f t="shared" si="202"/>
        <v>47.779357497416264</v>
      </c>
      <c r="AL667" t="str">
        <f t="shared" si="203"/>
        <v/>
      </c>
    </row>
    <row r="668" spans="31:38" x14ac:dyDescent="0.25">
      <c r="AE668" t="s">
        <v>691</v>
      </c>
      <c r="AF668" s="4">
        <f t="shared" si="197"/>
        <v>47.779357497416264</v>
      </c>
      <c r="AG668">
        <f t="shared" si="198"/>
        <v>5.6274456596400787E+20</v>
      </c>
      <c r="AH668">
        <f t="shared" si="199"/>
        <v>5.6274512870885379E+20</v>
      </c>
      <c r="AI668">
        <f t="shared" si="200"/>
        <v>5.627440032197247E+20</v>
      </c>
      <c r="AJ668">
        <f t="shared" si="201"/>
        <v>5.62744564547584E+20</v>
      </c>
      <c r="AK668">
        <f t="shared" si="202"/>
        <v>46.779357494899273</v>
      </c>
      <c r="AL668" t="str">
        <f t="shared" si="203"/>
        <v/>
      </c>
    </row>
    <row r="669" spans="31:38" x14ac:dyDescent="0.25">
      <c r="AE669" t="s">
        <v>692</v>
      </c>
      <c r="AF669" s="4">
        <f t="shared" si="197"/>
        <v>46.779357494899273</v>
      </c>
      <c r="AG669">
        <f t="shared" si="198"/>
        <v>2.0702215592803215E+20</v>
      </c>
      <c r="AH669">
        <f t="shared" si="199"/>
        <v>2.0702236295029106E+20</v>
      </c>
      <c r="AI669">
        <f t="shared" si="200"/>
        <v>2.0702194890598026E+20</v>
      </c>
      <c r="AJ669">
        <f t="shared" si="201"/>
        <v>2.07022155399168E+20</v>
      </c>
      <c r="AK669">
        <f t="shared" si="202"/>
        <v>45.779357492344644</v>
      </c>
      <c r="AL669" t="str">
        <f t="shared" si="203"/>
        <v/>
      </c>
    </row>
    <row r="670" spans="31:38" x14ac:dyDescent="0.25">
      <c r="AE670" t="s">
        <v>693</v>
      </c>
      <c r="AF670" s="4">
        <f t="shared" si="197"/>
        <v>45.779357492344644</v>
      </c>
      <c r="AG670">
        <f t="shared" si="198"/>
        <v>7.6159194838353215E+19</v>
      </c>
      <c r="AH670">
        <f t="shared" si="199"/>
        <v>7.6159270997585936E+19</v>
      </c>
      <c r="AI670">
        <f t="shared" si="200"/>
        <v>7.6159118679196647E+19</v>
      </c>
      <c r="AJ670">
        <f t="shared" si="201"/>
        <v>7.615919464448E+19</v>
      </c>
      <c r="AK670">
        <f t="shared" si="202"/>
        <v>44.779357489799011</v>
      </c>
      <c r="AL670" t="str">
        <f t="shared" si="203"/>
        <v/>
      </c>
    </row>
    <row r="671" spans="31:38" x14ac:dyDescent="0.25">
      <c r="AE671" t="s">
        <v>694</v>
      </c>
      <c r="AF671" s="4">
        <f t="shared" si="197"/>
        <v>44.779357489799011</v>
      </c>
      <c r="AG671">
        <f t="shared" si="198"/>
        <v>2.801740196587835E+19</v>
      </c>
      <c r="AH671">
        <f t="shared" si="199"/>
        <v>2.8017429983294255E+19</v>
      </c>
      <c r="AI671">
        <f t="shared" si="200"/>
        <v>2.8017373948490465E+19</v>
      </c>
      <c r="AJ671">
        <f t="shared" si="201"/>
        <v>2.8017401894912E+19</v>
      </c>
      <c r="AK671">
        <f t="shared" si="202"/>
        <v>43.779357487266076</v>
      </c>
      <c r="AL671" t="str">
        <f t="shared" si="203"/>
        <v/>
      </c>
    </row>
    <row r="672" spans="31:38" x14ac:dyDescent="0.25">
      <c r="AE672" t="s">
        <v>695</v>
      </c>
      <c r="AF672" s="4">
        <f t="shared" si="197"/>
        <v>43.779357487266076</v>
      </c>
      <c r="AG672">
        <f t="shared" si="198"/>
        <v>1.0307026152175964E+19</v>
      </c>
      <c r="AH672">
        <f t="shared" si="199"/>
        <v>1.0307036459207244E+19</v>
      </c>
      <c r="AI672">
        <f t="shared" si="200"/>
        <v>1.030701584515499E+19</v>
      </c>
      <c r="AJ672">
        <f t="shared" si="201"/>
        <v>1.0307026126848E+19</v>
      </c>
      <c r="AK672">
        <f t="shared" si="202"/>
        <v>42.779357484808727</v>
      </c>
      <c r="AL672" t="str">
        <f t="shared" si="203"/>
        <v/>
      </c>
    </row>
    <row r="673" spans="31:38" x14ac:dyDescent="0.25">
      <c r="AE673" t="s">
        <v>696</v>
      </c>
      <c r="AF673" s="4">
        <f t="shared" si="197"/>
        <v>42.779357484808727</v>
      </c>
      <c r="AG673">
        <f t="shared" si="198"/>
        <v>3.7917430116843023E+18</v>
      </c>
      <c r="AH673">
        <f t="shared" si="199"/>
        <v>3.7917468034292004E+18</v>
      </c>
      <c r="AI673">
        <f t="shared" si="200"/>
        <v>3.7917392199431962E+18</v>
      </c>
      <c r="AJ673">
        <f t="shared" si="201"/>
        <v>3.791743002112E+18</v>
      </c>
      <c r="AK673">
        <f t="shared" si="202"/>
        <v>41.779357482284212</v>
      </c>
      <c r="AL673" t="str">
        <f t="shared" si="203"/>
        <v/>
      </c>
    </row>
    <row r="674" spans="31:38" x14ac:dyDescent="0.25">
      <c r="AE674" t="s">
        <v>697</v>
      </c>
      <c r="AF674" s="4">
        <f t="shared" si="197"/>
        <v>41.779357482284212</v>
      </c>
      <c r="AG674">
        <f t="shared" si="198"/>
        <v>1.3949042966826849E+18</v>
      </c>
      <c r="AH674">
        <f t="shared" si="199"/>
        <v>1.3949056915876756E+18</v>
      </c>
      <c r="AI674">
        <f t="shared" si="200"/>
        <v>1.3949029017790894E+18</v>
      </c>
      <c r="AJ674">
        <f t="shared" si="201"/>
        <v>1.39490429312E+18</v>
      </c>
      <c r="AK674">
        <f t="shared" si="202"/>
        <v>40.779357479730137</v>
      </c>
      <c r="AL674" t="str">
        <f t="shared" si="203"/>
        <v/>
      </c>
    </row>
    <row r="675" spans="31:38" x14ac:dyDescent="0.25">
      <c r="AE675" t="s">
        <v>698</v>
      </c>
      <c r="AF675" s="4">
        <f t="shared" si="197"/>
        <v>40.779357479730137</v>
      </c>
      <c r="AG675">
        <f t="shared" si="198"/>
        <v>5.1315661184062982E+17</v>
      </c>
      <c r="AH675">
        <f t="shared" si="199"/>
        <v>5.1315712499749696E+17</v>
      </c>
      <c r="AI675">
        <f t="shared" si="200"/>
        <v>5.131560986842759E+17</v>
      </c>
      <c r="AJ675">
        <f t="shared" si="201"/>
        <v>5.13156610528E+17</v>
      </c>
      <c r="AK675">
        <f t="shared" si="202"/>
        <v>39.779357477172184</v>
      </c>
      <c r="AL675" t="str">
        <f t="shared" si="203"/>
        <v/>
      </c>
    </row>
    <row r="676" spans="31:38" x14ac:dyDescent="0.25">
      <c r="AE676" t="s">
        <v>699</v>
      </c>
      <c r="AF676" s="4">
        <f t="shared" si="197"/>
        <v>39.779357477172184</v>
      </c>
      <c r="AG676">
        <f t="shared" si="198"/>
        <v>1.8877976711447171E+17</v>
      </c>
      <c r="AH676">
        <f t="shared" si="199"/>
        <v>1.8877995589433274E+17</v>
      </c>
      <c r="AI676">
        <f t="shared" si="200"/>
        <v>1.8877957833479946E+17</v>
      </c>
      <c r="AJ676">
        <f t="shared" si="201"/>
        <v>1.8877976664E+17</v>
      </c>
      <c r="AK676">
        <f t="shared" si="202"/>
        <v>38.779357474658823</v>
      </c>
      <c r="AL676" t="str">
        <f t="shared" si="203"/>
        <v/>
      </c>
    </row>
    <row r="677" spans="31:38" x14ac:dyDescent="0.25">
      <c r="AE677" t="s">
        <v>700</v>
      </c>
      <c r="AF677" s="4">
        <f t="shared" si="197"/>
        <v>38.779357474658823</v>
      </c>
      <c r="AG677">
        <f t="shared" si="198"/>
        <v>6.9448195055998552E+16</v>
      </c>
      <c r="AH677">
        <f t="shared" si="199"/>
        <v>6.9448264504228152E+16</v>
      </c>
      <c r="AI677">
        <f t="shared" si="200"/>
        <v>6.9448125607838392E+16</v>
      </c>
      <c r="AJ677">
        <f t="shared" si="201"/>
        <v>6.944819488E+16</v>
      </c>
      <c r="AK677">
        <f t="shared" si="202"/>
        <v>37.77935747212458</v>
      </c>
      <c r="AL677" t="str">
        <f t="shared" si="203"/>
        <v/>
      </c>
    </row>
    <row r="678" spans="31:38" x14ac:dyDescent="0.25">
      <c r="AE678" t="s">
        <v>701</v>
      </c>
      <c r="AF678" s="4">
        <f t="shared" si="197"/>
        <v>37.77935747212458</v>
      </c>
      <c r="AG678">
        <f t="shared" si="198"/>
        <v>2.5548563122819804E+16</v>
      </c>
      <c r="AH678">
        <f t="shared" si="199"/>
        <v>2.5548588671395636E+16</v>
      </c>
      <c r="AI678">
        <f t="shared" si="200"/>
        <v>2.554853757426952E+16</v>
      </c>
      <c r="AJ678">
        <f t="shared" si="201"/>
        <v>2.5548563058E+16</v>
      </c>
      <c r="AK678">
        <f t="shared" si="202"/>
        <v>36.77935746958746</v>
      </c>
      <c r="AL678" t="str">
        <f t="shared" si="203"/>
        <v/>
      </c>
    </row>
    <row r="679" spans="31:38" x14ac:dyDescent="0.25">
      <c r="AE679" t="s">
        <v>702</v>
      </c>
      <c r="AF679" s="4">
        <f t="shared" si="197"/>
        <v>36.77935746958746</v>
      </c>
      <c r="AG679">
        <f t="shared" si="198"/>
        <v>9398791100510396</v>
      </c>
      <c r="AH679">
        <f t="shared" si="199"/>
        <v>9398800499306172</v>
      </c>
      <c r="AI679">
        <f t="shared" si="200"/>
        <v>9398781701724018</v>
      </c>
      <c r="AJ679">
        <f t="shared" si="201"/>
        <v>9398791077000000</v>
      </c>
      <c r="AK679">
        <f t="shared" si="202"/>
        <v>35.779357467086029</v>
      </c>
      <c r="AL679" t="str">
        <f t="shared" si="203"/>
        <v/>
      </c>
    </row>
    <row r="680" spans="31:38" x14ac:dyDescent="0.25">
      <c r="AE680" t="s">
        <v>703</v>
      </c>
      <c r="AF680" s="4">
        <f t="shared" si="197"/>
        <v>35.779357467086029</v>
      </c>
      <c r="AG680">
        <f t="shared" si="198"/>
        <v>3457622009093888.5</v>
      </c>
      <c r="AH680">
        <f t="shared" si="199"/>
        <v>3457625466717617.5</v>
      </c>
      <c r="AI680">
        <f t="shared" si="200"/>
        <v>3457618551473617</v>
      </c>
      <c r="AJ680">
        <f t="shared" si="201"/>
        <v>3457622000250000</v>
      </c>
      <c r="AK680">
        <f t="shared" si="202"/>
        <v>34.779357464528232</v>
      </c>
      <c r="AL680" t="str">
        <f t="shared" si="203"/>
        <v/>
      </c>
    </row>
    <row r="681" spans="31:38" x14ac:dyDescent="0.25">
      <c r="AE681" t="s">
        <v>704</v>
      </c>
      <c r="AF681" s="4">
        <f t="shared" si="197"/>
        <v>34.779357464528232</v>
      </c>
      <c r="AG681">
        <f t="shared" si="198"/>
        <v>1271988049234049.5</v>
      </c>
      <c r="AH681">
        <f t="shared" si="199"/>
        <v>1271989321222731.5</v>
      </c>
      <c r="AI681">
        <f t="shared" si="200"/>
        <v>1271986777246639.5</v>
      </c>
      <c r="AJ681">
        <f t="shared" si="201"/>
        <v>1271988046000000</v>
      </c>
      <c r="AK681">
        <f t="shared" si="202"/>
        <v>33.779357461985718</v>
      </c>
      <c r="AL681" t="str">
        <f t="shared" si="203"/>
        <v/>
      </c>
    </row>
    <row r="682" spans="31:38" x14ac:dyDescent="0.25">
      <c r="AE682" t="s">
        <v>705</v>
      </c>
      <c r="AF682" s="4">
        <f t="shared" si="197"/>
        <v>33.779357461985718</v>
      </c>
      <c r="AG682">
        <f t="shared" si="198"/>
        <v>467938251539233.81</v>
      </c>
      <c r="AH682">
        <f t="shared" si="199"/>
        <v>467938719477718.13</v>
      </c>
      <c r="AI682">
        <f t="shared" si="200"/>
        <v>467937783601217.44</v>
      </c>
      <c r="AJ682">
        <f t="shared" si="201"/>
        <v>467938250343750</v>
      </c>
      <c r="AK682">
        <f t="shared" si="202"/>
        <v>32.779357459430926</v>
      </c>
      <c r="AL682" t="str">
        <f t="shared" si="203"/>
        <v/>
      </c>
    </row>
    <row r="683" spans="31:38" x14ac:dyDescent="0.25">
      <c r="AE683" t="s">
        <v>706</v>
      </c>
      <c r="AF683" s="4">
        <f t="shared" si="197"/>
        <v>32.779357459430926</v>
      </c>
      <c r="AG683">
        <f t="shared" si="198"/>
        <v>172144862039198.94</v>
      </c>
      <c r="AH683">
        <f t="shared" si="199"/>
        <v>172145034184146.59</v>
      </c>
      <c r="AI683">
        <f t="shared" si="200"/>
        <v>172144689894423.41</v>
      </c>
      <c r="AJ683">
        <f t="shared" si="201"/>
        <v>172144861593750</v>
      </c>
      <c r="AK683">
        <f t="shared" si="202"/>
        <v>31.779357456843286</v>
      </c>
      <c r="AL683" t="str">
        <f t="shared" si="203"/>
        <v/>
      </c>
    </row>
    <row r="684" spans="31:38" x14ac:dyDescent="0.25">
      <c r="AE684" t="s">
        <v>707</v>
      </c>
      <c r="AF684" s="4">
        <f t="shared" si="197"/>
        <v>31.779357456843286</v>
      </c>
      <c r="AG684">
        <f t="shared" si="198"/>
        <v>63328555483642.086</v>
      </c>
      <c r="AH684">
        <f t="shared" si="199"/>
        <v>63328618812229.305</v>
      </c>
      <c r="AI684">
        <f t="shared" si="200"/>
        <v>63328492155118.203</v>
      </c>
      <c r="AJ684">
        <f t="shared" si="201"/>
        <v>63328555550781.25</v>
      </c>
      <c r="AK684">
        <f t="shared" si="202"/>
        <v>30.779357457903458</v>
      </c>
      <c r="AL684" t="str">
        <f t="shared" si="203"/>
        <v/>
      </c>
    </row>
    <row r="685" spans="31:38" x14ac:dyDescent="0.25">
      <c r="AE685" t="s">
        <v>708</v>
      </c>
      <c r="AF685" s="4">
        <f t="shared" si="197"/>
        <v>30.779357457903458</v>
      </c>
      <c r="AG685">
        <f t="shared" si="198"/>
        <v>23297273626214.137</v>
      </c>
      <c r="AH685">
        <f t="shared" si="199"/>
        <v>23297296923499.434</v>
      </c>
      <c r="AI685">
        <f t="shared" si="200"/>
        <v>23297250328952.137</v>
      </c>
      <c r="AJ685">
        <f t="shared" si="201"/>
        <v>23297273648437.5</v>
      </c>
      <c r="AK685">
        <f t="shared" si="202"/>
        <v>29.779357458857362</v>
      </c>
      <c r="AL685" t="str">
        <f t="shared" si="203"/>
        <v/>
      </c>
    </row>
    <row r="686" spans="31:38" x14ac:dyDescent="0.25">
      <c r="AE686" t="s">
        <v>709</v>
      </c>
      <c r="AF686" s="4">
        <f t="shared" si="197"/>
        <v>29.779357458857362</v>
      </c>
      <c r="AG686">
        <f t="shared" si="198"/>
        <v>8570588010603.4336</v>
      </c>
      <c r="AH686">
        <f t="shared" si="199"/>
        <v>8570596581195.7383</v>
      </c>
      <c r="AI686">
        <f t="shared" si="200"/>
        <v>8570579440019.7002</v>
      </c>
      <c r="AJ686">
        <f t="shared" si="201"/>
        <v>8570588019042.9688</v>
      </c>
      <c r="AK686">
        <f t="shared" si="202"/>
        <v>28.779357459842071</v>
      </c>
      <c r="AL686" t="str">
        <f t="shared" si="203"/>
        <v/>
      </c>
    </row>
    <row r="687" spans="31:38" x14ac:dyDescent="0.25">
      <c r="AE687" t="s">
        <v>710</v>
      </c>
      <c r="AF687" s="4">
        <f t="shared" si="197"/>
        <v>28.779357459842071</v>
      </c>
      <c r="AG687">
        <f t="shared" si="198"/>
        <v>3152943130954.2681</v>
      </c>
      <c r="AH687">
        <f t="shared" si="199"/>
        <v>3152946283898.979</v>
      </c>
      <c r="AI687">
        <f t="shared" si="200"/>
        <v>3152939978012.7104</v>
      </c>
      <c r="AJ687">
        <f t="shared" si="201"/>
        <v>3152943134277.3438</v>
      </c>
      <c r="AK687">
        <f t="shared" si="202"/>
        <v>27.77935746089603</v>
      </c>
      <c r="AL687" t="str">
        <f t="shared" si="203"/>
        <v/>
      </c>
    </row>
    <row r="688" spans="31:38" x14ac:dyDescent="0.25">
      <c r="AE688" t="s">
        <v>711</v>
      </c>
      <c r="AF688" s="4">
        <f t="shared" si="197"/>
        <v>27.77935746089603</v>
      </c>
      <c r="AG688">
        <f t="shared" si="198"/>
        <v>1159902958281.3657</v>
      </c>
      <c r="AH688">
        <f t="shared" si="199"/>
        <v>1159904118184.905</v>
      </c>
      <c r="AI688">
        <f t="shared" si="200"/>
        <v>1159901798378.9861</v>
      </c>
      <c r="AJ688">
        <f t="shared" si="201"/>
        <v>1159902959472.6563</v>
      </c>
      <c r="AK688">
        <f t="shared" si="202"/>
        <v>26.779357461923091</v>
      </c>
      <c r="AL688" t="str">
        <f t="shared" si="203"/>
        <v/>
      </c>
    </row>
    <row r="689" spans="31:38" x14ac:dyDescent="0.25">
      <c r="AE689" t="s">
        <v>712</v>
      </c>
      <c r="AF689" s="4">
        <f t="shared" si="197"/>
        <v>26.779357461923091</v>
      </c>
      <c r="AG689">
        <f t="shared" si="198"/>
        <v>426704452541.98615</v>
      </c>
      <c r="AH689">
        <f t="shared" si="199"/>
        <v>426704879246.65253</v>
      </c>
      <c r="AI689">
        <f t="shared" si="200"/>
        <v>426704025837.74652</v>
      </c>
      <c r="AJ689">
        <f t="shared" si="201"/>
        <v>426704453002.92969</v>
      </c>
      <c r="AK689">
        <f t="shared" si="202"/>
        <v>25.779357463003333</v>
      </c>
      <c r="AL689" t="str">
        <f t="shared" si="203"/>
        <v/>
      </c>
    </row>
    <row r="690" spans="31:38" x14ac:dyDescent="0.25">
      <c r="AE690" t="s">
        <v>713</v>
      </c>
      <c r="AF690" s="4">
        <f t="shared" si="197"/>
        <v>25.779357463003333</v>
      </c>
      <c r="AG690">
        <f t="shared" si="198"/>
        <v>156975795714.16782</v>
      </c>
      <c r="AH690">
        <f t="shared" si="199"/>
        <v>156975952690.04221</v>
      </c>
      <c r="AI690">
        <f t="shared" si="200"/>
        <v>156975638738.45044</v>
      </c>
      <c r="AJ690">
        <f t="shared" si="201"/>
        <v>156975795883.17871</v>
      </c>
      <c r="AK690">
        <f t="shared" si="202"/>
        <v>24.77935746408</v>
      </c>
      <c r="AL690" t="str">
        <f t="shared" si="203"/>
        <v/>
      </c>
    </row>
    <row r="691" spans="31:38" x14ac:dyDescent="0.25">
      <c r="AE691" t="s">
        <v>714</v>
      </c>
      <c r="AF691" s="4">
        <f t="shared" si="197"/>
        <v>24.77935746408</v>
      </c>
      <c r="AG691">
        <f t="shared" si="198"/>
        <v>57748168065.03109</v>
      </c>
      <c r="AH691">
        <f t="shared" si="199"/>
        <v>57748225813.228088</v>
      </c>
      <c r="AI691">
        <f t="shared" si="200"/>
        <v>57748110316.89183</v>
      </c>
      <c r="AJ691">
        <f t="shared" si="201"/>
        <v>57748168128.967285</v>
      </c>
      <c r="AK691">
        <f t="shared" si="202"/>
        <v>23.779357465187157</v>
      </c>
      <c r="AL691" t="str">
        <f t="shared" si="203"/>
        <v/>
      </c>
    </row>
    <row r="692" spans="31:38" x14ac:dyDescent="0.25">
      <c r="AE692" t="s">
        <v>715</v>
      </c>
      <c r="AF692" s="4">
        <f t="shared" si="197"/>
        <v>23.779357465187157</v>
      </c>
      <c r="AG692">
        <f t="shared" si="198"/>
        <v>21244363818.045094</v>
      </c>
      <c r="AH692">
        <f t="shared" si="199"/>
        <v>21244385062.419559</v>
      </c>
      <c r="AI692">
        <f t="shared" si="200"/>
        <v>21244342573.691872</v>
      </c>
      <c r="AJ692">
        <f t="shared" si="201"/>
        <v>21244363843.917847</v>
      </c>
      <c r="AK692">
        <f t="shared" si="202"/>
        <v>22.77935746640502</v>
      </c>
      <c r="AL692" t="str">
        <f t="shared" si="203"/>
        <v/>
      </c>
    </row>
    <row r="693" spans="31:38" x14ac:dyDescent="0.25">
      <c r="AE693" t="s">
        <v>716</v>
      </c>
      <c r="AF693" s="4">
        <f t="shared" si="197"/>
        <v>22.77935746640502</v>
      </c>
      <c r="AG693">
        <f t="shared" si="198"/>
        <v>7815364697.0305786</v>
      </c>
      <c r="AH693">
        <f t="shared" si="199"/>
        <v>7815372512.3991938</v>
      </c>
      <c r="AI693">
        <f t="shared" si="200"/>
        <v>7815356881.6697779</v>
      </c>
      <c r="AJ693">
        <f t="shared" si="201"/>
        <v>7815364707.9467773</v>
      </c>
      <c r="AK693">
        <f t="shared" si="202"/>
        <v>21.779357467801781</v>
      </c>
      <c r="AL693" t="str">
        <f t="shared" si="203"/>
        <v/>
      </c>
    </row>
    <row r="694" spans="31:38" x14ac:dyDescent="0.25">
      <c r="AE694" t="s">
        <v>717</v>
      </c>
      <c r="AF694" s="4">
        <f t="shared" si="197"/>
        <v>21.779357467801781</v>
      </c>
      <c r="AG694">
        <f t="shared" si="198"/>
        <v>2875111999.3990993</v>
      </c>
      <c r="AH694">
        <f t="shared" si="199"/>
        <v>2875114874.5125422</v>
      </c>
      <c r="AI694">
        <f t="shared" si="200"/>
        <v>2875109124.2885318</v>
      </c>
      <c r="AJ694">
        <f t="shared" si="201"/>
        <v>2875112005.2337646</v>
      </c>
      <c r="AK694">
        <f t="shared" si="202"/>
        <v>20.779357469831151</v>
      </c>
      <c r="AL694" t="str">
        <f t="shared" si="203"/>
        <v/>
      </c>
    </row>
    <row r="695" spans="31:38" x14ac:dyDescent="0.25">
      <c r="AE695" t="s">
        <v>718</v>
      </c>
      <c r="AF695" s="4">
        <f t="shared" si="197"/>
        <v>20.779357469831151</v>
      </c>
      <c r="AG695">
        <f t="shared" si="198"/>
        <v>1057694595.8807977</v>
      </c>
      <c r="AH695">
        <f t="shared" si="199"/>
        <v>1057695653.5759265</v>
      </c>
      <c r="AI695">
        <f t="shared" si="200"/>
        <v>1057693538.1867266</v>
      </c>
      <c r="AJ695">
        <f t="shared" si="201"/>
        <v>1057694599.9860764</v>
      </c>
      <c r="AK695">
        <f t="shared" si="202"/>
        <v>19.779357473712498</v>
      </c>
      <c r="AL695" t="str">
        <f t="shared" si="203"/>
        <v/>
      </c>
    </row>
    <row r="696" spans="31:38" x14ac:dyDescent="0.25">
      <c r="AE696" t="s">
        <v>719</v>
      </c>
      <c r="AF696" s="4">
        <f t="shared" si="197"/>
        <v>19.779357473712498</v>
      </c>
      <c r="AG696">
        <f t="shared" si="198"/>
        <v>389104096.46464121</v>
      </c>
      <c r="AH696">
        <f t="shared" si="199"/>
        <v>389104485.56893563</v>
      </c>
      <c r="AI696">
        <f t="shared" si="200"/>
        <v>389103707.36073589</v>
      </c>
      <c r="AJ696">
        <f t="shared" si="201"/>
        <v>389104099.86972809</v>
      </c>
      <c r="AK696">
        <f t="shared" si="202"/>
        <v>18.779357482463592</v>
      </c>
      <c r="AL696" t="str">
        <f t="shared" si="203"/>
        <v/>
      </c>
    </row>
    <row r="697" spans="31:38" x14ac:dyDescent="0.25">
      <c r="AE697" t="s">
        <v>720</v>
      </c>
      <c r="AF697" s="4">
        <f t="shared" si="197"/>
        <v>18.779357482463592</v>
      </c>
      <c r="AG697">
        <f t="shared" si="198"/>
        <v>143143396.91109544</v>
      </c>
      <c r="AH697">
        <f t="shared" si="199"/>
        <v>143143540.05456707</v>
      </c>
      <c r="AI697">
        <f t="shared" si="200"/>
        <v>143143253.76776692</v>
      </c>
      <c r="AJ697">
        <f t="shared" si="201"/>
        <v>143143400.07305145</v>
      </c>
      <c r="AK697">
        <f t="shared" si="202"/>
        <v>17.779357504553023</v>
      </c>
      <c r="AL697" t="str">
        <f t="shared" si="203"/>
        <v/>
      </c>
    </row>
    <row r="698" spans="31:38" x14ac:dyDescent="0.25">
      <c r="AE698" t="s">
        <v>721</v>
      </c>
      <c r="AF698" s="4">
        <f t="shared" si="197"/>
        <v>17.779357504553023</v>
      </c>
      <c r="AG698">
        <f t="shared" si="198"/>
        <v>52659512.121755682</v>
      </c>
      <c r="AH698">
        <f t="shared" si="199"/>
        <v>52659564.781297192</v>
      </c>
      <c r="AI698">
        <f t="shared" si="200"/>
        <v>52659459.462266818</v>
      </c>
      <c r="AJ698">
        <f t="shared" si="201"/>
        <v>52659515.187144279</v>
      </c>
      <c r="AK698">
        <f t="shared" si="202"/>
        <v>16.77935756276451</v>
      </c>
      <c r="AL698" t="str">
        <f t="shared" si="203"/>
        <v/>
      </c>
    </row>
    <row r="699" spans="31:38" x14ac:dyDescent="0.25">
      <c r="AE699" t="s">
        <v>722</v>
      </c>
      <c r="AF699" s="4">
        <f t="shared" si="197"/>
        <v>16.77935756276451</v>
      </c>
      <c r="AG699">
        <f t="shared" si="198"/>
        <v>19372351.117149319</v>
      </c>
      <c r="AH699">
        <f t="shared" si="199"/>
        <v>19372370.489513148</v>
      </c>
      <c r="AI699">
        <f t="shared" si="200"/>
        <v>19372331.744804859</v>
      </c>
      <c r="AJ699">
        <f t="shared" si="201"/>
        <v>19372354.144230485</v>
      </c>
      <c r="AK699">
        <f t="shared" si="202"/>
        <v>15.779357719022295</v>
      </c>
      <c r="AL699" t="str">
        <f t="shared" si="203"/>
        <v/>
      </c>
    </row>
    <row r="700" spans="31:38" x14ac:dyDescent="0.25">
      <c r="AE700" t="s">
        <v>723</v>
      </c>
      <c r="AF700" s="4">
        <f t="shared" si="197"/>
        <v>15.779357719022295</v>
      </c>
      <c r="AG700">
        <f t="shared" si="198"/>
        <v>7126688.9170320528</v>
      </c>
      <c r="AH700">
        <f t="shared" si="199"/>
        <v>7126696.0437275311</v>
      </c>
      <c r="AI700">
        <f t="shared" si="200"/>
        <v>7126681.7903437009</v>
      </c>
      <c r="AJ700">
        <f t="shared" si="201"/>
        <v>7126691.9150948524</v>
      </c>
      <c r="AK700">
        <f t="shared" si="202"/>
        <v>14.779358139703143</v>
      </c>
      <c r="AL700" t="str">
        <f t="shared" si="203"/>
        <v/>
      </c>
    </row>
    <row r="701" spans="31:38" x14ac:dyDescent="0.25">
      <c r="AE701" t="s">
        <v>724</v>
      </c>
      <c r="AF701" s="4">
        <f t="shared" si="197"/>
        <v>14.779358139703143</v>
      </c>
      <c r="AG701">
        <f t="shared" si="198"/>
        <v>2621761.542289007</v>
      </c>
      <c r="AH701">
        <f t="shared" si="199"/>
        <v>2621764.1640548571</v>
      </c>
      <c r="AI701">
        <f t="shared" si="200"/>
        <v>2621758.920525779</v>
      </c>
      <c r="AJ701">
        <f t="shared" si="201"/>
        <v>2621764.5390424877</v>
      </c>
      <c r="AK701">
        <f t="shared" si="202"/>
        <v>13.779359282732365</v>
      </c>
      <c r="AL701" t="str">
        <f t="shared" si="203"/>
        <v/>
      </c>
    </row>
    <row r="702" spans="31:38" x14ac:dyDescent="0.25">
      <c r="AE702" t="s">
        <v>725</v>
      </c>
      <c r="AF702" s="4">
        <f t="shared" si="197"/>
        <v>13.779359282732365</v>
      </c>
      <c r="AG702">
        <f t="shared" si="198"/>
        <v>964491.37998495228</v>
      </c>
      <c r="AH702">
        <f t="shared" si="199"/>
        <v>964492.34447980684</v>
      </c>
      <c r="AI702">
        <f t="shared" si="200"/>
        <v>964490.4154910621</v>
      </c>
      <c r="AJ702">
        <f t="shared" si="201"/>
        <v>964494.37236879021</v>
      </c>
      <c r="AK702">
        <f t="shared" si="202"/>
        <v>12.779362385273886</v>
      </c>
      <c r="AL702" t="str">
        <f t="shared" si="203"/>
        <v/>
      </c>
    </row>
    <row r="703" spans="31:38" x14ac:dyDescent="0.25">
      <c r="AE703" t="s">
        <v>726</v>
      </c>
      <c r="AF703" s="4">
        <f t="shared" si="197"/>
        <v>12.779362385273886</v>
      </c>
      <c r="AG703">
        <f t="shared" si="198"/>
        <v>354815.76104914845</v>
      </c>
      <c r="AH703">
        <f t="shared" si="199"/>
        <v>354816.11586807325</v>
      </c>
      <c r="AI703">
        <f t="shared" si="200"/>
        <v>354815.40623057849</v>
      </c>
      <c r="AJ703">
        <f t="shared" si="201"/>
        <v>354818.74737888575</v>
      </c>
      <c r="AK703">
        <f t="shared" si="202"/>
        <v>11.779370801767545</v>
      </c>
      <c r="AL703" t="str">
        <f t="shared" si="203"/>
        <v/>
      </c>
    </row>
    <row r="704" spans="31:38" x14ac:dyDescent="0.25">
      <c r="AE704" t="s">
        <v>727</v>
      </c>
      <c r="AF704" s="4">
        <f t="shared" si="197"/>
        <v>11.779370801767545</v>
      </c>
      <c r="AG704">
        <f t="shared" si="198"/>
        <v>130528.63735670566</v>
      </c>
      <c r="AH704">
        <f t="shared" si="199"/>
        <v>130528.76788838713</v>
      </c>
      <c r="AI704">
        <f t="shared" si="200"/>
        <v>130528.50682515472</v>
      </c>
      <c r="AJ704">
        <f t="shared" si="201"/>
        <v>130531.6162033705</v>
      </c>
      <c r="AK704">
        <f t="shared" si="202"/>
        <v>10.779393622649961</v>
      </c>
      <c r="AL704" t="str">
        <f t="shared" si="203"/>
        <v/>
      </c>
    </row>
    <row r="705" spans="31:38" x14ac:dyDescent="0.25">
      <c r="AE705" t="s">
        <v>728</v>
      </c>
      <c r="AF705" s="4">
        <f t="shared" si="197"/>
        <v>10.779393622649961</v>
      </c>
      <c r="AG705">
        <f t="shared" si="198"/>
        <v>48018.018271889283</v>
      </c>
      <c r="AH705">
        <f t="shared" si="199"/>
        <v>48018.066292901283</v>
      </c>
      <c r="AI705">
        <f t="shared" si="200"/>
        <v>48017.970250925297</v>
      </c>
      <c r="AJ705">
        <f t="shared" si="201"/>
        <v>48020.98799336818</v>
      </c>
      <c r="AK705">
        <f t="shared" si="202"/>
        <v>9.7794554648069631</v>
      </c>
      <c r="AL705" t="str">
        <f t="shared" si="203"/>
        <v/>
      </c>
    </row>
    <row r="706" spans="31:38" x14ac:dyDescent="0.25">
      <c r="AE706" t="s">
        <v>729</v>
      </c>
      <c r="AF706" s="4">
        <f t="shared" si="197"/>
        <v>9.7794554648069631</v>
      </c>
      <c r="AG706">
        <f t="shared" si="198"/>
        <v>17664.061018365879</v>
      </c>
      <c r="AH706">
        <f t="shared" si="199"/>
        <v>17664.078685394266</v>
      </c>
      <c r="AI706">
        <f t="shared" si="200"/>
        <v>17664.043351355162</v>
      </c>
      <c r="AJ706">
        <f t="shared" si="201"/>
        <v>17667.019552391139</v>
      </c>
      <c r="AK706">
        <f t="shared" si="202"/>
        <v>8.7796229256520988</v>
      </c>
      <c r="AL706" t="str">
        <f t="shared" si="203"/>
        <v/>
      </c>
    </row>
    <row r="707" spans="31:38" x14ac:dyDescent="0.25">
      <c r="AE707" t="s">
        <v>730</v>
      </c>
      <c r="AF707" s="4">
        <f t="shared" si="197"/>
        <v>8.7796229256520988</v>
      </c>
      <c r="AG707">
        <f t="shared" si="198"/>
        <v>6497.4681824542977</v>
      </c>
      <c r="AH707">
        <f t="shared" si="199"/>
        <v>6497.4746828703028</v>
      </c>
      <c r="AI707">
        <f t="shared" si="200"/>
        <v>6497.4616820447927</v>
      </c>
      <c r="AJ707">
        <f t="shared" si="201"/>
        <v>6500.4127550309931</v>
      </c>
      <c r="AK707">
        <f t="shared" si="202"/>
        <v>7.7800759080530115</v>
      </c>
      <c r="AL707" t="str">
        <f t="shared" si="203"/>
        <v/>
      </c>
    </row>
    <row r="708" spans="31:38" x14ac:dyDescent="0.25">
      <c r="AE708" t="s">
        <v>731</v>
      </c>
      <c r="AF708" s="4">
        <f t="shared" si="197"/>
        <v>7.7800759080530115</v>
      </c>
      <c r="AG708">
        <f t="shared" si="198"/>
        <v>2389.5134565845315</v>
      </c>
      <c r="AH708">
        <f t="shared" si="199"/>
        <v>2389.5158490258964</v>
      </c>
      <c r="AI708">
        <f t="shared" si="200"/>
        <v>2389.5110641455594</v>
      </c>
      <c r="AJ708">
        <f t="shared" si="201"/>
        <v>2392.4401684780605</v>
      </c>
      <c r="AK708">
        <f t="shared" si="202"/>
        <v>6.7812992247035551</v>
      </c>
      <c r="AL708" t="str">
        <f t="shared" si="203"/>
        <v/>
      </c>
    </row>
    <row r="709" spans="31:38" x14ac:dyDescent="0.25">
      <c r="AE709" t="s">
        <v>732</v>
      </c>
      <c r="AF709" s="4">
        <f t="shared" si="197"/>
        <v>6.7812992247035551</v>
      </c>
      <c r="AG709">
        <f t="shared" si="198"/>
        <v>878.28848709489012</v>
      </c>
      <c r="AH709">
        <f t="shared" si="199"/>
        <v>878.28936828692213</v>
      </c>
      <c r="AI709">
        <f t="shared" si="200"/>
        <v>878.28760590373929</v>
      </c>
      <c r="AJ709">
        <f t="shared" si="201"/>
        <v>881.19159141797354</v>
      </c>
      <c r="AK709">
        <f t="shared" si="202"/>
        <v>5.7845937458398859</v>
      </c>
      <c r="AL709" t="str">
        <f t="shared" si="203"/>
        <v/>
      </c>
    </row>
    <row r="710" spans="31:38" x14ac:dyDescent="0.25">
      <c r="AE710" t="s">
        <v>733</v>
      </c>
      <c r="AF710" s="4">
        <f t="shared" si="197"/>
        <v>5.7845937458398859</v>
      </c>
      <c r="AG710">
        <f t="shared" si="198"/>
        <v>322.35026394068285</v>
      </c>
      <c r="AH710">
        <f t="shared" si="199"/>
        <v>322.35058916170686</v>
      </c>
      <c r="AI710">
        <f t="shared" si="200"/>
        <v>322.34993871998415</v>
      </c>
      <c r="AJ710">
        <f t="shared" si="201"/>
        <v>325.22086135600148</v>
      </c>
      <c r="AK710">
        <f t="shared" si="202"/>
        <v>4.7934203549428496</v>
      </c>
      <c r="AL710" t="str">
        <f t="shared" si="203"/>
        <v/>
      </c>
    </row>
    <row r="711" spans="31:38" x14ac:dyDescent="0.25">
      <c r="AE711" t="s">
        <v>734</v>
      </c>
      <c r="AF711" s="4">
        <f t="shared" si="197"/>
        <v>4.7934203549428496</v>
      </c>
      <c r="AG711">
        <f t="shared" si="198"/>
        <v>117.84841965778337</v>
      </c>
      <c r="AH711">
        <f t="shared" si="199"/>
        <v>117.84854032968344</v>
      </c>
      <c r="AI711">
        <f t="shared" si="200"/>
        <v>117.84829898600402</v>
      </c>
      <c r="AJ711">
        <f t="shared" si="201"/>
        <v>120.67183970998485</v>
      </c>
      <c r="AK711">
        <f t="shared" si="202"/>
        <v>3.8168178605994063</v>
      </c>
      <c r="AL711" t="str">
        <f t="shared" si="203"/>
        <v/>
      </c>
    </row>
    <row r="712" spans="31:38" x14ac:dyDescent="0.25">
      <c r="AE712" t="s">
        <v>735</v>
      </c>
      <c r="AF712" s="4">
        <f t="shared" si="197"/>
        <v>3.8168178605994063</v>
      </c>
      <c r="AG712">
        <f t="shared" si="198"/>
        <v>42.644762661186441</v>
      </c>
      <c r="AH712">
        <f t="shared" si="199"/>
        <v>42.644808056295297</v>
      </c>
      <c r="AI712">
        <f t="shared" si="200"/>
        <v>42.644717266123074</v>
      </c>
      <c r="AJ712">
        <f t="shared" si="201"/>
        <v>45.39508611145493</v>
      </c>
      <c r="AK712">
        <f t="shared" si="202"/>
        <v>2.87740422987109</v>
      </c>
      <c r="AL712" t="str">
        <f t="shared" si="203"/>
        <v/>
      </c>
    </row>
    <row r="713" spans="31:38" x14ac:dyDescent="0.25">
      <c r="AE713" t="s">
        <v>736</v>
      </c>
      <c r="AF713" s="4">
        <f t="shared" si="197"/>
        <v>2.87740422987109</v>
      </c>
      <c r="AG713">
        <f t="shared" si="198"/>
        <v>15.031772611535459</v>
      </c>
      <c r="AH713">
        <f t="shared" si="199"/>
        <v>15.031790271870818</v>
      </c>
      <c r="AI713">
        <f t="shared" si="200"/>
        <v>15.031754951217934</v>
      </c>
      <c r="AJ713">
        <f t="shared" si="201"/>
        <v>17.660326442126006</v>
      </c>
      <c r="AK713">
        <f t="shared" si="202"/>
        <v>2.0262437113611114</v>
      </c>
      <c r="AL713" t="str">
        <f t="shared" si="203"/>
        <v/>
      </c>
    </row>
    <row r="714" spans="31:38" x14ac:dyDescent="0.25">
      <c r="AE714" t="s">
        <v>737</v>
      </c>
      <c r="AF714" s="4">
        <f t="shared" si="197"/>
        <v>2.0262437113611114</v>
      </c>
      <c r="AG714">
        <f t="shared" si="198"/>
        <v>4.9731964146027821</v>
      </c>
      <c r="AH714">
        <f t="shared" si="199"/>
        <v>4.9732038042850277</v>
      </c>
      <c r="AI714">
        <f t="shared" si="200"/>
        <v>4.973189024928276</v>
      </c>
      <c r="AJ714">
        <f t="shared" si="201"/>
        <v>7.3896783758797824</v>
      </c>
      <c r="AK714">
        <f t="shared" si="202"/>
        <v>1.3532514427347118</v>
      </c>
      <c r="AL714" t="str">
        <f t="shared" si="203"/>
        <v/>
      </c>
    </row>
    <row r="715" spans="31:38" x14ac:dyDescent="0.25">
      <c r="AE715" t="s">
        <v>738</v>
      </c>
      <c r="AF715" s="4">
        <f t="shared" si="197"/>
        <v>1.3532514427347118</v>
      </c>
      <c r="AG715">
        <f t="shared" si="198"/>
        <v>1.435590429099427</v>
      </c>
      <c r="AH715">
        <f t="shared" si="199"/>
        <v>1.4355939458937126</v>
      </c>
      <c r="AI715">
        <f t="shared" si="200"/>
        <v>1.4355869123093496</v>
      </c>
      <c r="AJ715">
        <f t="shared" si="201"/>
        <v>3.5167921814682757</v>
      </c>
      <c r="AK715">
        <f t="shared" si="202"/>
        <v>0.94504124576479531</v>
      </c>
      <c r="AL715" t="str">
        <f t="shared" si="203"/>
        <v/>
      </c>
    </row>
    <row r="716" spans="31:38" x14ac:dyDescent="0.25">
      <c r="AE716" t="s">
        <v>739</v>
      </c>
      <c r="AF716" s="4">
        <f t="shared" si="197"/>
        <v>0.94504124576479531</v>
      </c>
      <c r="AG716">
        <f t="shared" si="198"/>
        <v>0.31576964861122114</v>
      </c>
      <c r="AH716">
        <f t="shared" si="199"/>
        <v>0.31577169329898114</v>
      </c>
      <c r="AI716">
        <f t="shared" si="200"/>
        <v>0.31576760392656111</v>
      </c>
      <c r="AJ716">
        <f t="shared" si="201"/>
        <v>2.0446862100120811</v>
      </c>
      <c r="AK716">
        <f t="shared" si="202"/>
        <v>0.79060696285868848</v>
      </c>
      <c r="AL716" t="str">
        <f t="shared" si="203"/>
        <v/>
      </c>
    </row>
    <row r="717" spans="31:38" x14ac:dyDescent="0.25">
      <c r="AE717" t="s">
        <v>740</v>
      </c>
      <c r="AF717" s="4">
        <f t="shared" si="197"/>
        <v>0.79060696285868848</v>
      </c>
      <c r="AG717">
        <f t="shared" si="198"/>
        <v>3.5747031806704799E-2</v>
      </c>
      <c r="AH717">
        <f t="shared" si="199"/>
        <v>3.5748621180185403E-2</v>
      </c>
      <c r="AI717">
        <f t="shared" si="200"/>
        <v>3.5745442436027286E-2</v>
      </c>
      <c r="AJ717">
        <f t="shared" si="201"/>
        <v>1.5893720790582933</v>
      </c>
      <c r="AK717">
        <f t="shared" si="202"/>
        <v>0.76811567068254494</v>
      </c>
      <c r="AL717" t="str">
        <f t="shared" si="203"/>
        <v/>
      </c>
    </row>
    <row r="718" spans="31:38" x14ac:dyDescent="0.25">
      <c r="AE718" t="s">
        <v>741</v>
      </c>
      <c r="AF718" s="4">
        <f t="shared" si="197"/>
        <v>0.76811567068254494</v>
      </c>
      <c r="AG718">
        <f t="shared" si="198"/>
        <v>7.0568999418130218E-4</v>
      </c>
      <c r="AH718">
        <f t="shared" si="199"/>
        <v>7.0721676578644477E-4</v>
      </c>
      <c r="AI718">
        <f t="shared" si="200"/>
        <v>7.0416322534017084E-4</v>
      </c>
      <c r="AJ718">
        <f t="shared" si="201"/>
        <v>1.526770223136964</v>
      </c>
      <c r="AK718">
        <f t="shared" si="202"/>
        <v>0.76765345968085841</v>
      </c>
      <c r="AL718" t="str">
        <f t="shared" si="203"/>
        <v/>
      </c>
    </row>
    <row r="719" spans="31:38" x14ac:dyDescent="0.25">
      <c r="AE719" t="s">
        <v>742</v>
      </c>
      <c r="AF719" s="4">
        <f t="shared" si="197"/>
        <v>0.76765345968085841</v>
      </c>
      <c r="AG719">
        <f t="shared" si="198"/>
        <v>2.9515172306204818E-7</v>
      </c>
      <c r="AH719">
        <f t="shared" si="199"/>
        <v>1.8206462604197782E-6</v>
      </c>
      <c r="AI719">
        <f t="shared" si="200"/>
        <v>-1.2303400525048858E-6</v>
      </c>
      <c r="AJ719">
        <f t="shared" si="201"/>
        <v>1.525493156462332</v>
      </c>
      <c r="AK719">
        <f t="shared" si="202"/>
        <v>0.76765326620131258</v>
      </c>
      <c r="AL719" t="str">
        <f t="shared" si="203"/>
        <v/>
      </c>
    </row>
    <row r="720" spans="31:38" x14ac:dyDescent="0.25">
      <c r="AE720" t="s">
        <v>743</v>
      </c>
      <c r="AF720" s="4">
        <f t="shared" ref="AF720:AF722" si="204">AK719</f>
        <v>0.76765326620131258</v>
      </c>
      <c r="AG720">
        <f t="shared" ref="AG720:AG722" si="205">EXP(AF720)-ATAN(AF720)-1.5</f>
        <v>5.1292303737682232E-14</v>
      </c>
      <c r="AH720">
        <f t="shared" ref="AH720:AH722" si="206">EXP(AF720+E$6)-ATAN(AF720+E$6)-1.5</f>
        <v>1.5254940546327589E-6</v>
      </c>
      <c r="AI720">
        <f t="shared" ref="AI720:AI722" si="207">EXP(AF720-E$6)-ATAN(AF720-E$6)-1.5</f>
        <v>-1.5254911893691769E-6</v>
      </c>
      <c r="AJ720">
        <f t="shared" ref="AJ720:AJ722" si="208">(AH720-AI720)/(E$6*2)</f>
        <v>1.5254926220009679</v>
      </c>
      <c r="AK720">
        <f t="shared" ref="AK720:AK722" si="209">AF720-AG720/AJ720</f>
        <v>0.76765326620127894</v>
      </c>
      <c r="AL720" t="str">
        <f t="shared" ref="AL720:AL722" si="210">IF(AF721=AF720,"STOP","")</f>
        <v/>
      </c>
    </row>
    <row r="721" spans="31:38" x14ac:dyDescent="0.25">
      <c r="AE721" t="s">
        <v>744</v>
      </c>
      <c r="AF721" s="4">
        <f t="shared" si="204"/>
        <v>0.76765326620127894</v>
      </c>
      <c r="AG721">
        <f t="shared" si="205"/>
        <v>0</v>
      </c>
      <c r="AH721">
        <f t="shared" si="206"/>
        <v>1.5254940033404552E-6</v>
      </c>
      <c r="AI721">
        <f t="shared" si="207"/>
        <v>-1.5254912404394361E-6</v>
      </c>
      <c r="AJ721">
        <f t="shared" si="208"/>
        <v>1.5254926218899456</v>
      </c>
      <c r="AK721">
        <f t="shared" si="209"/>
        <v>0.76765326620127894</v>
      </c>
      <c r="AL721" t="str">
        <f t="shared" si="210"/>
        <v>STOP</v>
      </c>
    </row>
    <row r="722" spans="31:38" x14ac:dyDescent="0.25">
      <c r="AE722" t="s">
        <v>745</v>
      </c>
      <c r="AF722" s="4">
        <f t="shared" si="204"/>
        <v>0.76765326620127894</v>
      </c>
      <c r="AG722">
        <f t="shared" si="205"/>
        <v>0</v>
      </c>
      <c r="AH722">
        <f t="shared" si="206"/>
        <v>1.5254940033404552E-6</v>
      </c>
      <c r="AI722">
        <f t="shared" si="207"/>
        <v>-1.5254912404394361E-6</v>
      </c>
      <c r="AJ722">
        <f t="shared" si="208"/>
        <v>1.5254926218899456</v>
      </c>
      <c r="AK722">
        <f t="shared" si="209"/>
        <v>0.76765326620127894</v>
      </c>
      <c r="AL722" t="str">
        <f t="shared" si="210"/>
        <v/>
      </c>
    </row>
    <row r="723" spans="31:38" x14ac:dyDescent="0.25">
      <c r="AF723" s="4"/>
    </row>
    <row r="724" spans="31:38" x14ac:dyDescent="0.25">
      <c r="AF724" s="4"/>
    </row>
    <row r="725" spans="31:38" x14ac:dyDescent="0.25">
      <c r="AF725" s="4"/>
    </row>
    <row r="726" spans="31:38" x14ac:dyDescent="0.25">
      <c r="AF726" s="4"/>
    </row>
    <row r="727" spans="31:38" x14ac:dyDescent="0.25">
      <c r="AF727" s="4"/>
    </row>
    <row r="728" spans="31:38" x14ac:dyDescent="0.25">
      <c r="AF728" s="4"/>
    </row>
    <row r="729" spans="31:38" x14ac:dyDescent="0.25">
      <c r="AF729" s="4"/>
    </row>
    <row r="730" spans="31:38" x14ac:dyDescent="0.25">
      <c r="AF730" s="4"/>
    </row>
    <row r="731" spans="31:38" x14ac:dyDescent="0.25">
      <c r="AF731" s="4"/>
    </row>
    <row r="732" spans="31:38" x14ac:dyDescent="0.25">
      <c r="AF732" s="4"/>
    </row>
    <row r="733" spans="31:38" x14ac:dyDescent="0.25">
      <c r="AF733" s="4"/>
    </row>
    <row r="734" spans="31:38" x14ac:dyDescent="0.25">
      <c r="AF734" s="4"/>
    </row>
    <row r="735" spans="31:38" x14ac:dyDescent="0.25">
      <c r="AF735" s="4"/>
    </row>
    <row r="736" spans="31:38" x14ac:dyDescent="0.25">
      <c r="AF736" s="4"/>
    </row>
    <row r="737" spans="32:32" x14ac:dyDescent="0.25">
      <c r="AF737" s="4"/>
    </row>
    <row r="738" spans="32:32" x14ac:dyDescent="0.25">
      <c r="AF738" s="4"/>
    </row>
    <row r="739" spans="32:32" x14ac:dyDescent="0.25">
      <c r="AF739" s="4"/>
    </row>
    <row r="740" spans="32:32" x14ac:dyDescent="0.25">
      <c r="AF740" s="4"/>
    </row>
    <row r="741" spans="32:32" x14ac:dyDescent="0.25">
      <c r="AF741" s="4"/>
    </row>
    <row r="742" spans="32:32" x14ac:dyDescent="0.25">
      <c r="AF742" s="4"/>
    </row>
    <row r="743" spans="32:32" x14ac:dyDescent="0.25">
      <c r="AF743" s="4"/>
    </row>
    <row r="744" spans="32:32" x14ac:dyDescent="0.25">
      <c r="AF744" s="4"/>
    </row>
    <row r="745" spans="32:32" x14ac:dyDescent="0.25">
      <c r="AF745" s="4"/>
    </row>
    <row r="746" spans="32:32" x14ac:dyDescent="0.25">
      <c r="AF746" s="4"/>
    </row>
    <row r="747" spans="32:32" x14ac:dyDescent="0.25">
      <c r="AF747" s="4"/>
    </row>
    <row r="748" spans="32:32" x14ac:dyDescent="0.25">
      <c r="AF748" s="4"/>
    </row>
    <row r="749" spans="32:32" x14ac:dyDescent="0.25">
      <c r="AF749" s="4"/>
    </row>
    <row r="750" spans="32:32" x14ac:dyDescent="0.25">
      <c r="AF750" s="4"/>
    </row>
    <row r="751" spans="32:32" x14ac:dyDescent="0.25">
      <c r="AF751" s="4"/>
    </row>
    <row r="752" spans="32:32" x14ac:dyDescent="0.25">
      <c r="AF752" s="4"/>
    </row>
    <row r="753" spans="32:32" x14ac:dyDescent="0.25">
      <c r="AF753" s="4"/>
    </row>
    <row r="754" spans="32:32" x14ac:dyDescent="0.25">
      <c r="AF754" s="4"/>
    </row>
    <row r="755" spans="32:32" x14ac:dyDescent="0.25">
      <c r="AF755" s="4"/>
    </row>
    <row r="756" spans="32:32" x14ac:dyDescent="0.25">
      <c r="AF756" s="4"/>
    </row>
    <row r="757" spans="32:32" x14ac:dyDescent="0.25">
      <c r="AF757" s="4"/>
    </row>
    <row r="758" spans="32:32" x14ac:dyDescent="0.25">
      <c r="AF758" s="4"/>
    </row>
    <row r="759" spans="32:32" x14ac:dyDescent="0.25">
      <c r="AF759" s="4"/>
    </row>
    <row r="760" spans="32:32" x14ac:dyDescent="0.25">
      <c r="AF760" s="4"/>
    </row>
    <row r="761" spans="32:32" x14ac:dyDescent="0.25">
      <c r="AF761" s="4"/>
    </row>
    <row r="762" spans="32:32" x14ac:dyDescent="0.25">
      <c r="AF762" s="4"/>
    </row>
    <row r="763" spans="32:32" x14ac:dyDescent="0.25">
      <c r="AF763" s="4"/>
    </row>
    <row r="764" spans="32:32" x14ac:dyDescent="0.25">
      <c r="AF764" s="4"/>
    </row>
    <row r="765" spans="32:32" x14ac:dyDescent="0.25">
      <c r="AF765" s="4"/>
    </row>
    <row r="766" spans="32:32" x14ac:dyDescent="0.25">
      <c r="AF766" s="4"/>
    </row>
  </sheetData>
  <mergeCells count="1">
    <mergeCell ref="A1:J1"/>
  </mergeCells>
  <phoneticPr fontId="2" type="noConversion"/>
  <conditionalFormatting sqref="J10:K15">
    <cfRule type="cellIs" dxfId="5" priority="13" operator="lessThan">
      <formula>0</formula>
    </cfRule>
    <cfRule type="cellIs" dxfId="4" priority="14" operator="greaterThan">
      <formula>0</formula>
    </cfRule>
  </conditionalFormatting>
  <conditionalFormatting sqref="J22:K2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33:K9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71BA-FA86-4F95-98E9-5E741C160504}">
  <dimension ref="A1:O38"/>
  <sheetViews>
    <sheetView workbookViewId="0">
      <selection activeCell="H35" sqref="H35"/>
    </sheetView>
  </sheetViews>
  <sheetFormatPr defaultRowHeight="15" x14ac:dyDescent="0.25"/>
  <cols>
    <col min="1" max="1" width="11.28515625" customWidth="1"/>
    <col min="2" max="2" width="12" bestFit="1" customWidth="1"/>
    <col min="4" max="4" width="15" customWidth="1"/>
    <col min="5" max="5" width="11.7109375" bestFit="1" customWidth="1"/>
    <col min="6" max="6" width="12.7109375" bestFit="1" customWidth="1"/>
    <col min="7" max="7" width="11.7109375" bestFit="1" customWidth="1"/>
    <col min="9" max="10" width="11.7109375" bestFit="1" customWidth="1"/>
    <col min="11" max="11" width="12.7109375" bestFit="1" customWidth="1"/>
    <col min="13" max="13" width="11.7109375" bestFit="1" customWidth="1"/>
    <col min="14" max="14" width="12.7109375" bestFit="1" customWidth="1"/>
    <col min="17" max="17" width="11.7109375" bestFit="1" customWidth="1"/>
    <col min="18" max="18" width="12.7109375" bestFit="1" customWidth="1"/>
  </cols>
  <sheetData>
    <row r="1" spans="1:15" x14ac:dyDescent="0.25">
      <c r="A1" s="34" t="s">
        <v>258</v>
      </c>
      <c r="B1" s="34"/>
      <c r="C1" s="34"/>
      <c r="D1" s="34"/>
    </row>
    <row r="3" spans="1:15" x14ac:dyDescent="0.25">
      <c r="A3" t="s">
        <v>259</v>
      </c>
    </row>
    <row r="5" spans="1:15" x14ac:dyDescent="0.25">
      <c r="A5" t="s">
        <v>263</v>
      </c>
      <c r="B5" s="32" t="s">
        <v>260</v>
      </c>
      <c r="C5" s="32"/>
      <c r="D5" s="25"/>
      <c r="E5" t="s">
        <v>263</v>
      </c>
      <c r="F5" s="33" t="s">
        <v>262</v>
      </c>
      <c r="G5" s="33"/>
    </row>
    <row r="7" spans="1:15" x14ac:dyDescent="0.25">
      <c r="A7" t="s">
        <v>204</v>
      </c>
      <c r="B7" s="18" cm="1">
        <f t="array" aca="1" ref="B7" ca="1">INDIRECT(_xlfn.TEXTBEFORE(ADDRESS(1,COLUMN(B6),2),"$")&amp;MATCH("STOP",C:C,0),1)</f>
        <v>0.76765326620127916</v>
      </c>
      <c r="E7" t="s">
        <v>204</v>
      </c>
      <c r="F7" s="22" cm="1">
        <f t="array" aca="1" ref="F7" ca="1">INDIRECT(_xlfn.TEXTBEFORE(ADDRESS(1,COLUMN(F6),2),"$")&amp;MATCH("STOP",G:G,0),1)</f>
        <v>-14.101269772739954</v>
      </c>
      <c r="I7" t="s">
        <v>204</v>
      </c>
      <c r="J7" t="e" cm="1">
        <f t="array" aca="1" ref="J7" ca="1">INDIRECT(_xlfn.TEXTBEFORE(ADDRESS(1,COLUMN(J6),2),"$")&amp;MATCH("STOP",K:K,0),1)</f>
        <v>#N/A</v>
      </c>
    </row>
    <row r="8" spans="1:15" ht="30" customHeight="1" x14ac:dyDescent="0.25">
      <c r="A8" s="20" t="s">
        <v>261</v>
      </c>
      <c r="B8" s="21">
        <v>100</v>
      </c>
      <c r="C8" s="20" t="s">
        <v>12</v>
      </c>
      <c r="E8" s="20" t="s">
        <v>261</v>
      </c>
      <c r="F8" s="21">
        <v>2</v>
      </c>
      <c r="G8" s="20" t="s">
        <v>12</v>
      </c>
      <c r="I8" s="20" t="s">
        <v>261</v>
      </c>
      <c r="J8" s="21">
        <v>-14.2</v>
      </c>
      <c r="K8" s="20" t="s">
        <v>12</v>
      </c>
      <c r="M8" s="19"/>
      <c r="O8" s="19"/>
    </row>
    <row r="9" spans="1:15" x14ac:dyDescent="0.25">
      <c r="B9">
        <f>LN(ATAN(B8)+1.5)</f>
        <v>1.1186752285206343</v>
      </c>
      <c r="C9" t="str">
        <f>IF(B9=B10,"STOP","")</f>
        <v/>
      </c>
      <c r="F9">
        <f>TAN(EXP(F8)-1.5)</f>
        <v>-0.41589005410696556</v>
      </c>
      <c r="G9" t="str">
        <f t="shared" ref="G9:G18" si="0">IF(F9=F10,"STOP","")</f>
        <v/>
      </c>
      <c r="J9" t="e">
        <f>LN(ATAN(J8)+1.5)</f>
        <v>#NUM!</v>
      </c>
      <c r="K9" t="e">
        <f>IF(J9=J10,"STOP","")</f>
        <v>#NUM!</v>
      </c>
    </row>
    <row r="10" spans="1:15" x14ac:dyDescent="0.25">
      <c r="B10">
        <f>LN(ATAN(B9)+1.5)</f>
        <v>0.85072921308578897</v>
      </c>
      <c r="C10" t="str">
        <f t="shared" ref="C10:C38" si="1">IF(B10=B11,"STOP","")</f>
        <v/>
      </c>
      <c r="F10">
        <f>TAN(EXP(F9)-1.5)</f>
        <v>-1.1161873674419571</v>
      </c>
      <c r="G10" t="str">
        <f t="shared" si="0"/>
        <v/>
      </c>
      <c r="J10" t="e">
        <f>LN(ATAN(J9)+1.5)</f>
        <v>#NUM!</v>
      </c>
      <c r="K10" t="e">
        <f t="shared" ref="K10:K13" si="2">IF(J10=J11,"STOP","")</f>
        <v>#NUM!</v>
      </c>
    </row>
    <row r="11" spans="1:15" x14ac:dyDescent="0.25">
      <c r="B11">
        <f t="shared" ref="B11:B27" si="3">LN(ATAN(B10)+1.5)</f>
        <v>0.79068998334285057</v>
      </c>
      <c r="C11" t="str">
        <f t="shared" si="1"/>
        <v/>
      </c>
      <c r="F11">
        <f t="shared" ref="F11:F18" si="4">TAN(EXP(F10)-1.5)</f>
        <v>-2.3763285224373791</v>
      </c>
      <c r="G11" t="str">
        <f t="shared" si="0"/>
        <v/>
      </c>
      <c r="J11" t="e">
        <f t="shared" ref="J11:J13" si="5">LN(ATAN(J10)+1.5)</f>
        <v>#NUM!</v>
      </c>
      <c r="K11" t="e">
        <f t="shared" si="2"/>
        <v>#NUM!</v>
      </c>
    </row>
    <row r="12" spans="1:15" x14ac:dyDescent="0.25">
      <c r="B12">
        <f t="shared" si="3"/>
        <v>0.77428387382549635</v>
      </c>
      <c r="C12" t="str">
        <f t="shared" si="1"/>
        <v/>
      </c>
      <c r="F12">
        <f t="shared" si="4"/>
        <v>-6.0545483186364244</v>
      </c>
      <c r="G12" t="str">
        <f t="shared" si="0"/>
        <v/>
      </c>
      <c r="J12" t="e">
        <f t="shared" si="5"/>
        <v>#NUM!</v>
      </c>
      <c r="K12" t="e">
        <f t="shared" si="2"/>
        <v>#NUM!</v>
      </c>
    </row>
    <row r="13" spans="1:15" x14ac:dyDescent="0.25">
      <c r="B13">
        <f t="shared" si="3"/>
        <v>0.76958146682073569</v>
      </c>
      <c r="C13" t="str">
        <f t="shared" si="1"/>
        <v/>
      </c>
      <c r="F13">
        <f t="shared" si="4"/>
        <v>-13.647367059770199</v>
      </c>
      <c r="G13" t="str">
        <f t="shared" si="0"/>
        <v/>
      </c>
      <c r="J13" t="e">
        <f t="shared" si="5"/>
        <v>#NUM!</v>
      </c>
      <c r="K13" t="e">
        <f t="shared" si="2"/>
        <v>#NUM!</v>
      </c>
    </row>
    <row r="14" spans="1:15" x14ac:dyDescent="0.25">
      <c r="B14">
        <f t="shared" si="3"/>
        <v>0.76821565211996212</v>
      </c>
      <c r="C14" t="str">
        <f t="shared" si="1"/>
        <v/>
      </c>
      <c r="F14">
        <f t="shared" si="4"/>
        <v>-14.101183507255195</v>
      </c>
      <c r="G14" t="str">
        <f t="shared" si="0"/>
        <v/>
      </c>
    </row>
    <row r="15" spans="1:15" x14ac:dyDescent="0.25">
      <c r="B15">
        <f t="shared" si="3"/>
        <v>0.76781743463927554</v>
      </c>
      <c r="C15" t="str">
        <f t="shared" si="1"/>
        <v/>
      </c>
      <c r="F15">
        <f t="shared" si="4"/>
        <v>-14.101269759784676</v>
      </c>
      <c r="G15" t="str">
        <f t="shared" si="0"/>
        <v/>
      </c>
    </row>
    <row r="16" spans="1:15" x14ac:dyDescent="0.25">
      <c r="B16">
        <f t="shared" si="3"/>
        <v>0.7677012013049217</v>
      </c>
      <c r="C16" t="str">
        <f t="shared" si="1"/>
        <v/>
      </c>
      <c r="F16">
        <f t="shared" si="4"/>
        <v>-14.101269772738002</v>
      </c>
      <c r="G16" t="str">
        <f t="shared" si="0"/>
        <v/>
      </c>
    </row>
    <row r="17" spans="2:7" x14ac:dyDescent="0.25">
      <c r="B17">
        <f t="shared" si="3"/>
        <v>0.76766726366747839</v>
      </c>
      <c r="C17" t="str">
        <f t="shared" si="1"/>
        <v/>
      </c>
      <c r="F17">
        <f t="shared" si="4"/>
        <v>-14.101269772739954</v>
      </c>
      <c r="G17" t="str">
        <f t="shared" si="0"/>
        <v>STOP</v>
      </c>
    </row>
    <row r="18" spans="2:7" x14ac:dyDescent="0.25">
      <c r="B18">
        <f t="shared" si="3"/>
        <v>0.76765735367012222</v>
      </c>
      <c r="C18" t="str">
        <f t="shared" si="1"/>
        <v/>
      </c>
      <c r="F18">
        <f t="shared" si="4"/>
        <v>-14.101269772739954</v>
      </c>
      <c r="G18" t="str">
        <f t="shared" si="0"/>
        <v/>
      </c>
    </row>
    <row r="19" spans="2:7" x14ac:dyDescent="0.25">
      <c r="B19">
        <f t="shared" si="3"/>
        <v>0.76765445981056912</v>
      </c>
      <c r="C19" t="str">
        <f t="shared" si="1"/>
        <v/>
      </c>
    </row>
    <row r="20" spans="2:7" x14ac:dyDescent="0.25">
      <c r="B20">
        <f t="shared" si="3"/>
        <v>0.76765361475579663</v>
      </c>
      <c r="C20" t="str">
        <f t="shared" si="1"/>
        <v/>
      </c>
    </row>
    <row r="21" spans="2:7" x14ac:dyDescent="0.25">
      <c r="B21">
        <f t="shared" si="3"/>
        <v>0.76765336798526929</v>
      </c>
      <c r="C21" t="str">
        <f t="shared" si="1"/>
        <v/>
      </c>
    </row>
    <row r="22" spans="2:7" x14ac:dyDescent="0.25">
      <c r="B22">
        <f t="shared" si="3"/>
        <v>0.76765329592398146</v>
      </c>
      <c r="C22" t="str">
        <f t="shared" si="1"/>
        <v/>
      </c>
      <c r="F22" s="24"/>
    </row>
    <row r="23" spans="2:7" x14ac:dyDescent="0.25">
      <c r="B23">
        <f t="shared" si="3"/>
        <v>0.76765327488082757</v>
      </c>
      <c r="C23" t="str">
        <f t="shared" si="1"/>
        <v/>
      </c>
      <c r="F23" s="23"/>
    </row>
    <row r="24" spans="2:7" x14ac:dyDescent="0.25">
      <c r="B24">
        <f t="shared" si="3"/>
        <v>0.76765326873585882</v>
      </c>
      <c r="C24" t="str">
        <f t="shared" si="1"/>
        <v/>
      </c>
      <c r="F24" s="24"/>
    </row>
    <row r="25" spans="2:7" x14ac:dyDescent="0.25">
      <c r="B25">
        <f t="shared" si="3"/>
        <v>0.76765326694142066</v>
      </c>
      <c r="C25" t="str">
        <f t="shared" si="1"/>
        <v/>
      </c>
    </row>
    <row r="26" spans="2:7" x14ac:dyDescent="0.25">
      <c r="B26">
        <f t="shared" si="3"/>
        <v>0.76765326641741316</v>
      </c>
      <c r="C26" t="str">
        <f t="shared" si="1"/>
        <v/>
      </c>
    </row>
    <row r="27" spans="2:7" x14ac:dyDescent="0.25">
      <c r="B27">
        <f t="shared" si="3"/>
        <v>0.7676532662643939</v>
      </c>
      <c r="C27" t="str">
        <f t="shared" si="1"/>
        <v/>
      </c>
    </row>
    <row r="28" spans="2:7" x14ac:dyDescent="0.25">
      <c r="B28">
        <f t="shared" ref="B28:B36" si="6">LN(ATAN(B27)+1.5)</f>
        <v>0.76765326621970964</v>
      </c>
      <c r="C28" t="str">
        <f t="shared" si="1"/>
        <v/>
      </c>
    </row>
    <row r="29" spans="2:7" x14ac:dyDescent="0.25">
      <c r="B29">
        <f t="shared" si="6"/>
        <v>0.76765326620666097</v>
      </c>
      <c r="C29" t="str">
        <f t="shared" si="1"/>
        <v/>
      </c>
    </row>
    <row r="30" spans="2:7" x14ac:dyDescent="0.25">
      <c r="B30">
        <f t="shared" si="6"/>
        <v>0.76765326620285046</v>
      </c>
      <c r="C30" t="str">
        <f t="shared" si="1"/>
        <v/>
      </c>
    </row>
    <row r="31" spans="2:7" x14ac:dyDescent="0.25">
      <c r="B31">
        <f t="shared" si="6"/>
        <v>0.76765326620173779</v>
      </c>
      <c r="C31" t="str">
        <f t="shared" si="1"/>
        <v/>
      </c>
    </row>
    <row r="32" spans="2:7" x14ac:dyDescent="0.25">
      <c r="B32">
        <f t="shared" si="6"/>
        <v>0.76765326620141294</v>
      </c>
      <c r="C32" t="str">
        <f t="shared" si="1"/>
        <v/>
      </c>
    </row>
    <row r="33" spans="2:3" x14ac:dyDescent="0.25">
      <c r="B33">
        <f t="shared" si="6"/>
        <v>0.76765326620131791</v>
      </c>
      <c r="C33" t="str">
        <f t="shared" si="1"/>
        <v/>
      </c>
    </row>
    <row r="34" spans="2:3" x14ac:dyDescent="0.25">
      <c r="B34">
        <f t="shared" si="6"/>
        <v>0.76765326620129026</v>
      </c>
      <c r="C34" t="str">
        <f t="shared" si="1"/>
        <v/>
      </c>
    </row>
    <row r="35" spans="2:3" x14ac:dyDescent="0.25">
      <c r="B35">
        <f t="shared" si="6"/>
        <v>0.76765326620128227</v>
      </c>
      <c r="C35" t="str">
        <f t="shared" si="1"/>
        <v/>
      </c>
    </row>
    <row r="36" spans="2:3" x14ac:dyDescent="0.25">
      <c r="B36">
        <f t="shared" si="6"/>
        <v>0.76765326620128005</v>
      </c>
      <c r="C36" t="str">
        <f t="shared" si="1"/>
        <v/>
      </c>
    </row>
    <row r="37" spans="2:3" x14ac:dyDescent="0.25">
      <c r="B37">
        <f t="shared" ref="B37:B38" si="7">LN(ATAN(B36)+1.5)</f>
        <v>0.76765326620127916</v>
      </c>
      <c r="C37" t="str">
        <f t="shared" si="1"/>
        <v>STOP</v>
      </c>
    </row>
    <row r="38" spans="2:3" x14ac:dyDescent="0.25">
      <c r="B38">
        <f t="shared" si="7"/>
        <v>0.76765326620127894</v>
      </c>
      <c r="C38" t="str">
        <f t="shared" si="1"/>
        <v/>
      </c>
    </row>
  </sheetData>
  <mergeCells count="3">
    <mergeCell ref="B5:C5"/>
    <mergeCell ref="F5:G5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098-1ADA-4D96-947E-D636C245B3E9}">
  <dimension ref="A1:I244"/>
  <sheetViews>
    <sheetView workbookViewId="0">
      <selection activeCell="D15" sqref="D15"/>
    </sheetView>
  </sheetViews>
  <sheetFormatPr defaultRowHeight="15" x14ac:dyDescent="0.25"/>
  <cols>
    <col min="1" max="1" width="11.7109375" bestFit="1" customWidth="1"/>
    <col min="2" max="2" width="17.85546875" bestFit="1" customWidth="1"/>
    <col min="3" max="4" width="12" bestFit="1" customWidth="1"/>
    <col min="5" max="5" width="14" bestFit="1" customWidth="1"/>
    <col min="6" max="6" width="13.28515625" bestFit="1" customWidth="1"/>
    <col min="7" max="7" width="12" bestFit="1" customWidth="1"/>
    <col min="8" max="8" width="15.28515625" bestFit="1" customWidth="1"/>
    <col min="9" max="9" width="13.28515625" bestFit="1" customWidth="1"/>
    <col min="10" max="10" width="14" bestFit="1" customWidth="1"/>
    <col min="11" max="11" width="13.28515625" bestFit="1" customWidth="1"/>
    <col min="14" max="14" width="14" bestFit="1" customWidth="1"/>
    <col min="15" max="15" width="13.28515625" bestFit="1" customWidth="1"/>
  </cols>
  <sheetData>
    <row r="1" spans="1:9" x14ac:dyDescent="0.25">
      <c r="A1" s="29" t="s">
        <v>206</v>
      </c>
      <c r="B1" s="29"/>
      <c r="C1" s="29"/>
      <c r="D1" s="29"/>
      <c r="E1" s="29"/>
      <c r="F1" s="29"/>
    </row>
    <row r="2" spans="1:9" x14ac:dyDescent="0.25">
      <c r="H2" s="9" t="s">
        <v>207</v>
      </c>
      <c r="I2" s="9" t="s">
        <v>208</v>
      </c>
    </row>
    <row r="3" spans="1:9" x14ac:dyDescent="0.25">
      <c r="A3" t="s">
        <v>263</v>
      </c>
      <c r="B3" s="32" t="s">
        <v>260</v>
      </c>
      <c r="C3" s="32"/>
      <c r="D3" s="1"/>
      <c r="E3" s="1"/>
      <c r="H3" s="10">
        <v>-14.1</v>
      </c>
      <c r="I3" s="10">
        <v>36</v>
      </c>
    </row>
    <row r="4" spans="1:9" x14ac:dyDescent="0.25">
      <c r="H4" s="10">
        <v>-14</v>
      </c>
      <c r="I4" s="10">
        <v>36</v>
      </c>
    </row>
    <row r="5" spans="1:9" x14ac:dyDescent="0.25">
      <c r="A5" t="s">
        <v>204</v>
      </c>
      <c r="B5" s="18" cm="1">
        <f t="array" aca="1" ref="B5" ca="1">INDIRECT(_xlfn.TEXTBEFORE(ADDRESS(1,COLUMN(B4),2),"$")&amp;MATCH("STOP",C:C,0),1)</f>
        <v>0.76765326620127861</v>
      </c>
      <c r="E5" s="30" t="s">
        <v>209</v>
      </c>
      <c r="F5" s="30"/>
      <c r="H5" s="10">
        <v>-10</v>
      </c>
      <c r="I5" s="10">
        <v>35</v>
      </c>
    </row>
    <row r="6" spans="1:9" ht="30" x14ac:dyDescent="0.25">
      <c r="A6" s="20" t="s">
        <v>261</v>
      </c>
      <c r="B6" s="21">
        <v>0.76</v>
      </c>
      <c r="C6" s="20" t="s">
        <v>12</v>
      </c>
      <c r="E6" s="8" t="s">
        <v>207</v>
      </c>
      <c r="F6" s="8" t="s">
        <v>208</v>
      </c>
      <c r="H6" s="10">
        <v>-5</v>
      </c>
      <c r="I6" s="10">
        <v>34</v>
      </c>
    </row>
    <row r="7" spans="1:9" x14ac:dyDescent="0.25">
      <c r="B7">
        <f>LN(ATAN(B6)+1.5)</f>
        <v>0.76540758423663424</v>
      </c>
      <c r="C7" t="str">
        <f>IF(B7=B8,"STOP","")</f>
        <v/>
      </c>
      <c r="E7">
        <f>B6</f>
        <v>0.76</v>
      </c>
      <c r="F7">
        <f>MATCH("STOP",C:C,0)-5</f>
        <v>26</v>
      </c>
      <c r="H7" s="10">
        <v>-2</v>
      </c>
      <c r="I7" s="10">
        <v>33</v>
      </c>
    </row>
    <row r="8" spans="1:9" x14ac:dyDescent="0.25">
      <c r="B8">
        <f>LN(ATAN(B7)+1.5)</f>
        <v>0.76699656056726606</v>
      </c>
      <c r="C8" t="str">
        <f t="shared" ref="C8:C35" si="0">IF(B8=B9,"STOP","")</f>
        <v/>
      </c>
      <c r="H8" s="10">
        <v>-1</v>
      </c>
      <c r="I8" s="10">
        <v>32</v>
      </c>
    </row>
    <row r="9" spans="1:9" x14ac:dyDescent="0.25">
      <c r="B9">
        <f t="shared" ref="B9:B67" si="1">LN(ATAN(B8)+1.5)</f>
        <v>0.76746141743634522</v>
      </c>
      <c r="C9" t="str">
        <f t="shared" si="0"/>
        <v/>
      </c>
      <c r="H9" s="10">
        <v>0.1</v>
      </c>
      <c r="I9" s="10">
        <v>30</v>
      </c>
    </row>
    <row r="10" spans="1:9" x14ac:dyDescent="0.25">
      <c r="B10">
        <f t="shared" si="1"/>
        <v>0.76759723624673337</v>
      </c>
      <c r="C10" t="str">
        <f t="shared" si="0"/>
        <v/>
      </c>
      <c r="H10" s="10">
        <v>0.7</v>
      </c>
      <c r="I10" s="10">
        <v>28</v>
      </c>
    </row>
    <row r="11" spans="1:9" x14ac:dyDescent="0.25">
      <c r="B11">
        <f t="shared" si="1"/>
        <v>0.76763690389837114</v>
      </c>
      <c r="C11" t="str">
        <f t="shared" si="0"/>
        <v/>
      </c>
      <c r="H11" s="10">
        <v>0.76</v>
      </c>
      <c r="I11" s="10">
        <v>26</v>
      </c>
    </row>
    <row r="12" spans="1:9" x14ac:dyDescent="0.25">
      <c r="B12">
        <f t="shared" si="1"/>
        <v>0.76764848807360797</v>
      </c>
      <c r="C12" t="str">
        <f t="shared" si="0"/>
        <v/>
      </c>
      <c r="H12" s="10">
        <v>1</v>
      </c>
      <c r="I12" s="10">
        <v>29</v>
      </c>
    </row>
    <row r="13" spans="1:9" x14ac:dyDescent="0.25">
      <c r="B13">
        <f t="shared" si="1"/>
        <v>0.76765187090027465</v>
      </c>
      <c r="C13" t="str">
        <f t="shared" si="0"/>
        <v/>
      </c>
      <c r="H13" s="10">
        <v>100</v>
      </c>
      <c r="I13" s="10">
        <v>30</v>
      </c>
    </row>
    <row r="14" spans="1:9" x14ac:dyDescent="0.25">
      <c r="B14">
        <f t="shared" si="1"/>
        <v>0.76765285874863554</v>
      </c>
      <c r="C14" t="str">
        <f t="shared" si="0"/>
        <v/>
      </c>
    </row>
    <row r="15" spans="1:9" x14ac:dyDescent="0.25">
      <c r="B15">
        <f t="shared" si="1"/>
        <v>0.76765314721795341</v>
      </c>
      <c r="C15" t="str">
        <f t="shared" si="0"/>
        <v/>
      </c>
    </row>
    <row r="16" spans="1:9" x14ac:dyDescent="0.25">
      <c r="B16">
        <f t="shared" si="1"/>
        <v>0.76765323145606512</v>
      </c>
      <c r="C16" t="str">
        <f t="shared" si="0"/>
        <v/>
      </c>
    </row>
    <row r="17" spans="2:3" x14ac:dyDescent="0.25">
      <c r="B17">
        <f t="shared" si="1"/>
        <v>0.76765325605506884</v>
      </c>
      <c r="C17" t="str">
        <f t="shared" si="0"/>
        <v/>
      </c>
    </row>
    <row r="18" spans="2:3" x14ac:dyDescent="0.25">
      <c r="B18">
        <f t="shared" si="1"/>
        <v>0.76765326323840821</v>
      </c>
      <c r="C18" t="str">
        <f t="shared" si="0"/>
        <v/>
      </c>
    </row>
    <row r="19" spans="2:3" x14ac:dyDescent="0.25">
      <c r="B19">
        <f t="shared" si="1"/>
        <v>0.76765326533606892</v>
      </c>
      <c r="C19" t="str">
        <f t="shared" si="0"/>
        <v/>
      </c>
    </row>
    <row r="20" spans="2:3" x14ac:dyDescent="0.25">
      <c r="B20">
        <f t="shared" si="1"/>
        <v>0.76765326594862238</v>
      </c>
      <c r="C20" t="str">
        <f t="shared" si="0"/>
        <v/>
      </c>
    </row>
    <row r="21" spans="2:3" x14ac:dyDescent="0.25">
      <c r="B21">
        <f t="shared" si="1"/>
        <v>0.76765326612749873</v>
      </c>
      <c r="C21" t="str">
        <f t="shared" si="0"/>
        <v/>
      </c>
    </row>
    <row r="22" spans="2:3" x14ac:dyDescent="0.25">
      <c r="B22">
        <f t="shared" si="1"/>
        <v>0.76765326617973384</v>
      </c>
      <c r="C22" t="str">
        <f t="shared" si="0"/>
        <v/>
      </c>
    </row>
    <row r="23" spans="2:3" x14ac:dyDescent="0.25">
      <c r="B23">
        <f t="shared" si="1"/>
        <v>0.7676532661949873</v>
      </c>
      <c r="C23" t="str">
        <f t="shared" si="0"/>
        <v/>
      </c>
    </row>
    <row r="24" spans="2:3" x14ac:dyDescent="0.25">
      <c r="B24">
        <f t="shared" si="1"/>
        <v>0.76765326619944152</v>
      </c>
      <c r="C24" t="str">
        <f t="shared" si="0"/>
        <v/>
      </c>
    </row>
    <row r="25" spans="2:3" x14ac:dyDescent="0.25">
      <c r="B25">
        <f t="shared" si="1"/>
        <v>0.76765326620074226</v>
      </c>
      <c r="C25" t="str">
        <f t="shared" si="0"/>
        <v/>
      </c>
    </row>
    <row r="26" spans="2:3" x14ac:dyDescent="0.25">
      <c r="B26">
        <f t="shared" si="1"/>
        <v>0.76765326620112218</v>
      </c>
      <c r="C26" t="str">
        <f t="shared" si="0"/>
        <v/>
      </c>
    </row>
    <row r="27" spans="2:3" x14ac:dyDescent="0.25">
      <c r="B27">
        <f t="shared" si="1"/>
        <v>0.76765326620123298</v>
      </c>
      <c r="C27" t="str">
        <f t="shared" si="0"/>
        <v/>
      </c>
    </row>
    <row r="28" spans="2:3" x14ac:dyDescent="0.25">
      <c r="B28">
        <f t="shared" si="1"/>
        <v>0.76765326620126562</v>
      </c>
      <c r="C28" t="str">
        <f t="shared" si="0"/>
        <v/>
      </c>
    </row>
    <row r="29" spans="2:3" x14ac:dyDescent="0.25">
      <c r="B29">
        <f t="shared" si="1"/>
        <v>0.76765326620127505</v>
      </c>
      <c r="C29" t="str">
        <f t="shared" si="0"/>
        <v/>
      </c>
    </row>
    <row r="30" spans="2:3" x14ac:dyDescent="0.25">
      <c r="B30">
        <f t="shared" si="1"/>
        <v>0.76765326620127772</v>
      </c>
      <c r="C30" t="str">
        <f t="shared" si="0"/>
        <v/>
      </c>
    </row>
    <row r="31" spans="2:3" x14ac:dyDescent="0.25">
      <c r="B31">
        <f t="shared" si="1"/>
        <v>0.76765326620127861</v>
      </c>
      <c r="C31" t="str">
        <f t="shared" si="0"/>
        <v>STOP</v>
      </c>
    </row>
    <row r="32" spans="2:3" x14ac:dyDescent="0.25">
      <c r="B32">
        <f t="shared" si="1"/>
        <v>0.76765326620127872</v>
      </c>
      <c r="C32" t="str">
        <f t="shared" si="0"/>
        <v>STOP</v>
      </c>
    </row>
    <row r="33" spans="2:3" x14ac:dyDescent="0.25">
      <c r="B33">
        <f t="shared" si="1"/>
        <v>0.76765326620127872</v>
      </c>
      <c r="C33" t="str">
        <f t="shared" si="0"/>
        <v>STOP</v>
      </c>
    </row>
    <row r="34" spans="2:3" x14ac:dyDescent="0.25">
      <c r="B34">
        <f t="shared" si="1"/>
        <v>0.76765326620127872</v>
      </c>
      <c r="C34" t="str">
        <f t="shared" si="0"/>
        <v>STOP</v>
      </c>
    </row>
    <row r="35" spans="2:3" x14ac:dyDescent="0.25">
      <c r="B35">
        <f t="shared" si="1"/>
        <v>0.76765326620127872</v>
      </c>
      <c r="C35" t="str">
        <f t="shared" si="0"/>
        <v>STOP</v>
      </c>
    </row>
    <row r="36" spans="2:3" x14ac:dyDescent="0.25">
      <c r="B36">
        <f t="shared" si="1"/>
        <v>0.76765326620127872</v>
      </c>
      <c r="C36" t="str">
        <f t="shared" ref="C36:C67" si="2">IF(B36=B37,"STOP","")</f>
        <v>STOP</v>
      </c>
    </row>
    <row r="37" spans="2:3" x14ac:dyDescent="0.25">
      <c r="B37">
        <f t="shared" si="1"/>
        <v>0.76765326620127872</v>
      </c>
      <c r="C37" t="str">
        <f t="shared" si="2"/>
        <v>STOP</v>
      </c>
    </row>
    <row r="38" spans="2:3" x14ac:dyDescent="0.25">
      <c r="B38">
        <f t="shared" si="1"/>
        <v>0.76765326620127872</v>
      </c>
      <c r="C38" t="str">
        <f t="shared" si="2"/>
        <v>STOP</v>
      </c>
    </row>
    <row r="39" spans="2:3" x14ac:dyDescent="0.25">
      <c r="B39">
        <f t="shared" si="1"/>
        <v>0.76765326620127872</v>
      </c>
      <c r="C39" t="str">
        <f t="shared" si="2"/>
        <v>STOP</v>
      </c>
    </row>
    <row r="40" spans="2:3" x14ac:dyDescent="0.25">
      <c r="B40">
        <f t="shared" si="1"/>
        <v>0.76765326620127872</v>
      </c>
      <c r="C40" t="str">
        <f t="shared" si="2"/>
        <v>STOP</v>
      </c>
    </row>
    <row r="41" spans="2:3" x14ac:dyDescent="0.25">
      <c r="B41">
        <f t="shared" si="1"/>
        <v>0.76765326620127872</v>
      </c>
      <c r="C41" t="str">
        <f t="shared" si="2"/>
        <v>STOP</v>
      </c>
    </row>
    <row r="42" spans="2:3" x14ac:dyDescent="0.25">
      <c r="B42">
        <f t="shared" si="1"/>
        <v>0.76765326620127872</v>
      </c>
      <c r="C42" t="str">
        <f t="shared" si="2"/>
        <v>STOP</v>
      </c>
    </row>
    <row r="43" spans="2:3" x14ac:dyDescent="0.25">
      <c r="B43">
        <f t="shared" si="1"/>
        <v>0.76765326620127872</v>
      </c>
      <c r="C43" t="str">
        <f t="shared" si="2"/>
        <v>STOP</v>
      </c>
    </row>
    <row r="44" spans="2:3" x14ac:dyDescent="0.25">
      <c r="B44">
        <f t="shared" si="1"/>
        <v>0.76765326620127872</v>
      </c>
      <c r="C44" t="str">
        <f t="shared" si="2"/>
        <v>STOP</v>
      </c>
    </row>
    <row r="45" spans="2:3" x14ac:dyDescent="0.25">
      <c r="B45">
        <f t="shared" si="1"/>
        <v>0.76765326620127872</v>
      </c>
      <c r="C45" t="str">
        <f t="shared" si="2"/>
        <v>STOP</v>
      </c>
    </row>
    <row r="46" spans="2:3" x14ac:dyDescent="0.25">
      <c r="B46">
        <f t="shared" si="1"/>
        <v>0.76765326620127872</v>
      </c>
      <c r="C46" t="str">
        <f t="shared" si="2"/>
        <v>STOP</v>
      </c>
    </row>
    <row r="47" spans="2:3" x14ac:dyDescent="0.25">
      <c r="B47">
        <f t="shared" si="1"/>
        <v>0.76765326620127872</v>
      </c>
      <c r="C47" t="str">
        <f t="shared" si="2"/>
        <v>STOP</v>
      </c>
    </row>
    <row r="48" spans="2:3" x14ac:dyDescent="0.25">
      <c r="B48">
        <f t="shared" si="1"/>
        <v>0.76765326620127872</v>
      </c>
      <c r="C48" t="str">
        <f t="shared" si="2"/>
        <v>STOP</v>
      </c>
    </row>
    <row r="49" spans="2:3" x14ac:dyDescent="0.25">
      <c r="B49">
        <f t="shared" si="1"/>
        <v>0.76765326620127872</v>
      </c>
      <c r="C49" t="str">
        <f t="shared" si="2"/>
        <v>STOP</v>
      </c>
    </row>
    <row r="50" spans="2:3" x14ac:dyDescent="0.25">
      <c r="B50">
        <f t="shared" si="1"/>
        <v>0.76765326620127872</v>
      </c>
      <c r="C50" t="str">
        <f t="shared" si="2"/>
        <v>STOP</v>
      </c>
    </row>
    <row r="51" spans="2:3" x14ac:dyDescent="0.25">
      <c r="B51">
        <f t="shared" si="1"/>
        <v>0.76765326620127872</v>
      </c>
      <c r="C51" t="str">
        <f t="shared" si="2"/>
        <v>STOP</v>
      </c>
    </row>
    <row r="52" spans="2:3" x14ac:dyDescent="0.25">
      <c r="B52">
        <f t="shared" si="1"/>
        <v>0.76765326620127872</v>
      </c>
      <c r="C52" t="str">
        <f t="shared" si="2"/>
        <v>STOP</v>
      </c>
    </row>
    <row r="53" spans="2:3" x14ac:dyDescent="0.25">
      <c r="B53">
        <f t="shared" si="1"/>
        <v>0.76765326620127872</v>
      </c>
      <c r="C53" t="str">
        <f t="shared" si="2"/>
        <v>STOP</v>
      </c>
    </row>
    <row r="54" spans="2:3" x14ac:dyDescent="0.25">
      <c r="B54">
        <f t="shared" si="1"/>
        <v>0.76765326620127872</v>
      </c>
      <c r="C54" t="str">
        <f t="shared" si="2"/>
        <v>STOP</v>
      </c>
    </row>
    <row r="55" spans="2:3" x14ac:dyDescent="0.25">
      <c r="B55">
        <f t="shared" si="1"/>
        <v>0.76765326620127872</v>
      </c>
      <c r="C55" t="str">
        <f t="shared" si="2"/>
        <v>STOP</v>
      </c>
    </row>
    <row r="56" spans="2:3" x14ac:dyDescent="0.25">
      <c r="B56">
        <f t="shared" si="1"/>
        <v>0.76765326620127872</v>
      </c>
      <c r="C56" t="str">
        <f t="shared" si="2"/>
        <v>STOP</v>
      </c>
    </row>
    <row r="57" spans="2:3" x14ac:dyDescent="0.25">
      <c r="B57">
        <f t="shared" si="1"/>
        <v>0.76765326620127872</v>
      </c>
      <c r="C57" t="str">
        <f t="shared" si="2"/>
        <v>STOP</v>
      </c>
    </row>
    <row r="58" spans="2:3" x14ac:dyDescent="0.25">
      <c r="B58">
        <f t="shared" si="1"/>
        <v>0.76765326620127872</v>
      </c>
      <c r="C58" t="str">
        <f t="shared" si="2"/>
        <v>STOP</v>
      </c>
    </row>
    <row r="59" spans="2:3" x14ac:dyDescent="0.25">
      <c r="B59">
        <f t="shared" si="1"/>
        <v>0.76765326620127872</v>
      </c>
      <c r="C59" t="str">
        <f t="shared" si="2"/>
        <v>STOP</v>
      </c>
    </row>
    <row r="60" spans="2:3" x14ac:dyDescent="0.25">
      <c r="B60">
        <f t="shared" si="1"/>
        <v>0.76765326620127872</v>
      </c>
      <c r="C60" t="str">
        <f t="shared" si="2"/>
        <v>STOP</v>
      </c>
    </row>
    <row r="61" spans="2:3" x14ac:dyDescent="0.25">
      <c r="B61">
        <f t="shared" si="1"/>
        <v>0.76765326620127872</v>
      </c>
      <c r="C61" t="str">
        <f t="shared" si="2"/>
        <v>STOP</v>
      </c>
    </row>
    <row r="62" spans="2:3" x14ac:dyDescent="0.25">
      <c r="B62">
        <f t="shared" si="1"/>
        <v>0.76765326620127872</v>
      </c>
      <c r="C62" t="str">
        <f t="shared" si="2"/>
        <v>STOP</v>
      </c>
    </row>
    <row r="63" spans="2:3" x14ac:dyDescent="0.25">
      <c r="B63">
        <f t="shared" si="1"/>
        <v>0.76765326620127872</v>
      </c>
      <c r="C63" t="str">
        <f t="shared" si="2"/>
        <v>STOP</v>
      </c>
    </row>
    <row r="64" spans="2:3" x14ac:dyDescent="0.25">
      <c r="B64">
        <f t="shared" si="1"/>
        <v>0.76765326620127872</v>
      </c>
      <c r="C64" t="str">
        <f t="shared" si="2"/>
        <v>STOP</v>
      </c>
    </row>
    <row r="65" spans="2:3" x14ac:dyDescent="0.25">
      <c r="B65">
        <f t="shared" si="1"/>
        <v>0.76765326620127872</v>
      </c>
      <c r="C65" t="str">
        <f t="shared" si="2"/>
        <v>STOP</v>
      </c>
    </row>
    <row r="66" spans="2:3" x14ac:dyDescent="0.25">
      <c r="B66">
        <f t="shared" si="1"/>
        <v>0.76765326620127872</v>
      </c>
      <c r="C66" t="str">
        <f t="shared" si="2"/>
        <v>STOP</v>
      </c>
    </row>
    <row r="67" spans="2:3" x14ac:dyDescent="0.25">
      <c r="B67">
        <f t="shared" si="1"/>
        <v>0.76765326620127872</v>
      </c>
      <c r="C67" t="str">
        <f t="shared" si="2"/>
        <v/>
      </c>
    </row>
    <row r="68" spans="2:3" x14ac:dyDescent="0.25">
      <c r="B68" s="4"/>
    </row>
    <row r="69" spans="2:3" x14ac:dyDescent="0.25">
      <c r="B69" s="4"/>
    </row>
    <row r="70" spans="2:3" x14ac:dyDescent="0.25">
      <c r="B70" s="4"/>
    </row>
    <row r="71" spans="2:3" x14ac:dyDescent="0.25">
      <c r="B71" s="4"/>
    </row>
    <row r="72" spans="2:3" x14ac:dyDescent="0.25">
      <c r="B72" s="4"/>
    </row>
    <row r="73" spans="2:3" x14ac:dyDescent="0.25">
      <c r="B73" s="4"/>
    </row>
    <row r="74" spans="2:3" x14ac:dyDescent="0.25">
      <c r="B74" s="4"/>
    </row>
    <row r="75" spans="2:3" x14ac:dyDescent="0.25">
      <c r="B75" s="4"/>
    </row>
    <row r="76" spans="2:3" x14ac:dyDescent="0.25">
      <c r="B76" s="4"/>
    </row>
    <row r="77" spans="2:3" x14ac:dyDescent="0.25">
      <c r="B77" s="4"/>
    </row>
    <row r="78" spans="2:3" x14ac:dyDescent="0.25">
      <c r="B78" s="4"/>
    </row>
    <row r="79" spans="2:3" x14ac:dyDescent="0.25">
      <c r="B79" s="4"/>
    </row>
    <row r="80" spans="2:3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</sheetData>
  <sortState xmlns:xlrd2="http://schemas.microsoft.com/office/spreadsheetml/2017/richdata2" ref="H3:I14">
    <sortCondition ref="H3:H14"/>
  </sortState>
  <mergeCells count="3">
    <mergeCell ref="E5:F5"/>
    <mergeCell ref="B3:C3"/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Badanie przebiegu funkcji</vt:lpstr>
      <vt:lpstr>Newton</vt:lpstr>
      <vt:lpstr>Liczba iteracji - Newton</vt:lpstr>
      <vt:lpstr>Zbieżność metody Newtona</vt:lpstr>
      <vt:lpstr>Punkt stały</vt:lpstr>
      <vt:lpstr>Liczba iteracji - punkt stały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Belkner</dc:creator>
  <cp:lastModifiedBy>Anna Belkner</cp:lastModifiedBy>
  <dcterms:created xsi:type="dcterms:W3CDTF">2026-01-02T19:35:36Z</dcterms:created>
  <dcterms:modified xsi:type="dcterms:W3CDTF">2026-01-12T19:25:41Z</dcterms:modified>
</cp:coreProperties>
</file>